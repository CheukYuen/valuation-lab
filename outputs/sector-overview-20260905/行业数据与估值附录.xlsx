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ca043610342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司财务" sheetId="1" r:id="R8291c5e1a4584dfa"/>
    <x:sheet xmlns:r="http://schemas.openxmlformats.org/officeDocument/2006/relationships" name="行业需求" sheetId="2" r:id="Rb64fa5121a3c4811"/>
    <x:sheet xmlns:r="http://schemas.openxmlformats.org/officeDocument/2006/relationships" name="估值快照" sheetId="3" r:id="R080a7414efdb428e"/>
    <x:sheet xmlns:r="http://schemas.openxmlformats.org/officeDocument/2006/relationships" name="历史估值" sheetId="4" r:id="R9edea2913d334127"/>
    <x:sheet xmlns:r="http://schemas.openxmlformats.org/officeDocument/2006/relationships" name="来源与缺口" sheetId="5" r:id="R2faa1e492b324081"/>
    <x:sheet xmlns:r="http://schemas.openxmlformats.org/officeDocument/2006/relationships" name="投行研报" sheetId="6" r:id="Rcdb1f21e8b6444e9"/>
  </x:sheets>
</x:workbook>
</file>

<file path=xl/comments1.xml><?xml version="1.0" encoding="utf-8"?>
<x:comments xmlns:x="http://schemas.openxmlformats.org/spreadsheetml/2006/main">
  <x:authors>
    <x:author>tc={61B70BE4-CD92-4E94-9F28-2DDEBB603232}</x:author>
    <x:author>tc={1AFDF435-4192-4810-B71F-5D48AAA83E71}</x:author>
    <x:author>tc={1CD63392-03CC-4F64-8DC3-0315163108B4}</x:author>
    <x:author>tc={7AFEB7D6-A1D7-4050-BE43-BF63434851C9}</x:author>
    <x:author>tc={3C2B0926-9F0C-4DBA-915E-EB4BCD42F320}</x:author>
    <x:author>tc={1B7A472F-09DE-4A58-9EE2-3A57697045B2}</x:author>
    <x:author>tc={335337E1-E330-4D58-BF87-4F4F00568A62}</x:author>
    <x:author>tc={655460A0-49D0-4347-BEAC-EE7FCDCE58F4}</x:author>
    <x:author>tc={87ADC7CA-3CCF-448A-B406-8C475D6239B1}</x:author>
    <x:author>tc={BA4E4C63-0D07-4D5C-997A-34C5CBE2EFAC}</x:author>
    <x:author>tc={B3CF1D88-375C-4FD8-9B7A-AE2E910290AD}</x:author>
    <x:author>tc={D4BE2B3F-3DCF-4BAA-A9C4-49BAB9EFD5EB}</x:author>
    <x:author>tc={A2BE734C-8ECF-4E80-BAEF-B773733D2DD6}</x:author>
    <x:author>tc={813CB05A-DE5B-4ED2-80F4-4BF7B33753EB}</x:author>
    <x:author>tc={2A0483E1-E258-455C-99A7-C7C74E84A6C1}</x:author>
    <x:author>tc={C2E783F0-3048-4CD2-80C8-613306CA13CD}</x:author>
    <x:author>tc={CEECC9F9-5EB8-4FE1-9097-D45D21739483}</x:author>
    <x:author>tc={E3978ED3-1C37-44BE-9FA5-A5C1FB048203}</x:author>
    <x:author>tc={BB81F1F4-2628-4B56-99F2-92C6533166DB}</x:author>
    <x:author>tc={B2C9A5F0-4210-4A52-A161-5AB0002EC5FA}</x:author>
    <x:author>tc={E8BABAE3-2610-46EB-91A1-5888D2431E00}</x:author>
    <x:author>tc={B3550AA3-E71B-48EF-8D77-DCCFB920D34A}</x:author>
    <x:author>tc={8B104B6D-3688-478D-9E0B-000EAF6DE8BF}</x:author>
    <x:author>tc={38DC6653-7D42-4FFC-8234-9B1A870484C7}</x:author>
    <x:author>tc={319FEF02-B049-4F54-8B4D-B398BBC7F37C}</x:author>
    <x:author>tc={07C84FBE-91F4-4226-BD8B-333EEF8B80CA}</x:author>
    <x:author>tc={BC5C0B4D-0741-44C7-87C2-3FB03F6B18F2}</x:author>
    <x:author>tc={DFAE852A-8CB1-41BC-A0D7-7691E2FA5CC5}</x:author>
    <x:author>tc={726F5DA7-A755-4318-9E11-4877750706FD}</x:author>
    <x:author>tc={44918EE0-EF5E-4F9D-B795-08B861095AEB}</x:author>
    <x:author>tc={1B70154F-57D3-491E-93ED-7215AB3B261C}</x:author>
    <x:author>tc={BF34992B-09A6-4103-9896-0D3CFB6C2F47}</x:author>
    <x:author>tc={80AF70B7-2A44-402C-93E6-5043DB35B4AB}</x:author>
    <x:author>tc={36503CB1-FAF4-4BF5-BA46-7C0C3577EB7D}</x:author>
    <x:author>tc={EC47B72F-3107-4687-A09C-A6CE8D61876C}</x:author>
    <x:author>tc={903172BD-5E5C-4B25-9988-8BD56AD6DE39}</x:author>
    <x:author>tc={713C3A6A-A338-4CAE-B22B-BC200410ADB5}</x:author>
    <x:author>tc={48C14B11-9021-47F4-A32A-717861BC455B}</x:author>
    <x:author>tc={C90AF184-1887-4837-9C8E-BF895FF7C6FA}</x:author>
    <x:author>tc={BFE56873-49CA-4530-972C-3C304E0D79FA}</x:author>
    <x:author>tc={E7B96960-5A10-4BF3-92B9-2F3411D0573D}</x:author>
    <x:author>tc={965B2EB1-8B23-4BE1-98C9-65816650BE60}</x:author>
    <x:author>tc={53DEBD08-E564-4FF3-B7B3-6F89916B779B}</x:author>
    <x:author>tc={F984BECC-3FC7-45BA-B9B1-95C550714C2F}</x:author>
    <x:author>tc={523B9511-10BA-4A0B-B5D0-0F2A9E1B7D5B}</x:author>
    <x:author>tc={1163497B-E380-4230-AD2D-CE02DBB9850D}</x:author>
    <x:author>tc={5C763514-77A7-4605-B6DB-600F4B41C0FB}</x:author>
    <x:author>tc={60399884-717F-4EF2-95FB-0A2A481CAF90}</x:author>
    <x:author>tc={5B9A054A-A187-41C3-A2C9-A2842A9F7C6F}</x:author>
    <x:author>tc={931D5B8E-0A1B-437C-AD3E-DAC85E70EC97}</x:author>
    <x:author>tc={59C88AB5-2E5C-470B-8956-ACA66D490207}</x:author>
    <x:author>tc={4CDAF6A6-3727-44AF-ACE0-CBDF15960C40}</x:author>
    <x:author>tc={31E15BD7-C21D-4E6F-B7B7-8EBA056AB4A0}</x:author>
    <x:author>tc={8EE99142-5459-49D0-AA7D-8429ECB322AC}</x:author>
    <x:author>tc={CCA51F2D-4F1F-4C94-92ED-0956B123272B}</x:author>
    <x:author>tc={BF3E4E71-1F7D-4F43-BD1E-4C2369210CFC}</x:author>
    <x:author>tc={44E49191-9170-4D36-A138-0F2EDF60F6A4}</x:author>
    <x:author>tc={6E3FD11F-4B0D-48ED-808E-594B96531111}</x:author>
    <x:author>tc={5B44C764-D690-4049-AC73-C8AA69D51728}</x:author>
    <x:author>tc={A74C2A5B-520B-4DB4-A8A1-69F0F78E0F50}</x:author>
    <x:author>tc={E6092D19-106F-4943-90C8-2C166D4EA41E}</x:author>
    <x:author>tc={ED9AF387-0DF9-49B7-92CB-A64DB2B96133}</x:author>
    <x:author>tc={C38D6BA7-E5C5-426B-8956-12153119A651}</x:author>
    <x:author>tc={CE4339E8-FAF9-4312-B7FE-CD3F67F697B1}</x:author>
    <x:author>tc={9D3C7A19-15C1-46E5-8B61-FB41FD00E160}</x:author>
    <x:author>tc={97B5E6BE-24FA-4F3E-9C84-A958693970C1}</x:author>
    <x:author>tc={1C6FBEA3-B5D8-4560-A0FA-EDBC3B985C51}</x:author>
    <x:author>tc={D7F0E528-51D0-4D5D-98D5-3F0AA3DE48BF}</x:author>
    <x:author>tc={3CA77A68-436F-47D2-94EF-71793F3E43C4}</x:author>
    <x:author>tc={70E18122-7BE9-4C0A-BE6E-E6EFF14D06C2}</x:author>
    <x:author>tc={5916740F-9C6F-4C05-84C2-1E2F7A83C877}</x:author>
    <x:author>tc={4EB8E7E5-023A-46D8-8245-CFB440653796}</x:author>
    <x:author>tc={DDA3088E-64A6-46A3-BDBC-E85D5E1033A1}</x:author>
    <x:author>tc={959F533E-916C-4644-A4C8-95B8B17893C4}</x:author>
    <x:author>tc={C40CBB05-F70B-4063-804C-DD65EFE1F474}</x:author>
    <x:author>tc={6BF36C58-FA5C-4C4E-81BF-A0D0FDD0F3C3}</x:author>
    <x:author>tc={3F65BD26-AB2C-42EF-BF23-8293790C2B74}</x:author>
  </x:authors>
  <x:commentList>
    <x:comment ref="D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raw/wind-yofc-fundamentals.json；报告期以列名为准；亿元；取数2026-09-05。</x:t>
        </x:r>
      </x:text>
    </x:comment>
    <x:comment ref="E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raw/wind-yofc-fundamentals.json；报告期以列名为准；亿元；取数2026-09-05。</x:t>
        </x:r>
      </x:text>
    </x:comment>
    <x:comment ref="G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raw/wind-yofc-fundamentals.json；报告期以列名为准；亿元；取数2026-09-05。</x:t>
        </x:r>
      </x:text>
    </x:comment>
    <x:comment ref="F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I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J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K7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D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raw/wind-ztt-fundamentals.json；报告期以列名为准；亿元；取数2026-09-05。</x:t>
        </x:r>
      </x:text>
    </x:comment>
    <x:comment ref="E8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raw/wind-ztt-fundamentals.json；报告期以列名为准；亿元；取数2026-09-05。</x:t>
        </x:r>
      </x:text>
    </x:comment>
    <x:comment ref="G8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raw/wind-ztt-fundamentals.json；报告期以列名为准；亿元；取数2026-09-05。</x:t>
        </x:r>
      </x:text>
    </x:comment>
    <x:comment ref="F8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I8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J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K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D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raw/wind-hengtong-fundamentals.json；报告期以列名为准；亿元；取数2026-09-05。</x:t>
        </x:r>
      </x:text>
    </x:comment>
    <x:comment ref="E9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raw/wind-hengtong-fundamentals.json；报告期以列名为准；亿元；取数2026-09-05。</x:t>
        </x:r>
      </x:text>
    </x:comment>
    <x:comment ref="G9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raw/wind-hengtong-fundamentals.json；报告期以列名为准；亿元；取数2026-09-05。</x:t>
        </x:r>
      </x:text>
    </x:comment>
    <x:comment ref="F9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I9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J9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K9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D10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raw/wind-fiberhome-fundamentals.json；报告期以列名为准；亿元；取数2026-09-05。</x:t>
        </x:r>
      </x:text>
    </x:comment>
    <x:comment ref="E10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raw/wind-fiberhome-fundamentals.json；报告期以列名为准；亿元；取数2026-09-05。</x:t>
        </x:r>
      </x:text>
    </x:comment>
    <x:comment ref="G10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raw/wind-fiberhome-fundamentals.json；报告期以列名为准；亿元；取数2026-09-05。</x:t>
        </x:r>
      </x:text>
    </x:comment>
    <x:comment ref="F1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I1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J10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K10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D11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raw/wind-innolight-fundamentals.json；报告期以列名为准；亿元；取数2026-09-05。</x:t>
        </x:r>
      </x:text>
    </x:comment>
    <x:comment ref="E11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raw/wind-innolight-fundamentals.json；报告期以列名为准；亿元；取数2026-09-05。</x:t>
        </x:r>
      </x:text>
    </x:comment>
    <x:comment ref="G11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raw/wind-innolight-fundamentals.json；报告期以列名为准；亿元；取数2026-09-05。</x:t>
        </x:r>
      </x:text>
    </x:comment>
    <x:comment ref="F11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I11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J11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K11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D12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raw/wind-accelink-fundamentals.json；报告期以列名为准；亿元；取数2026-09-05。</x:t>
        </x:r>
      </x:text>
    </x:comment>
    <x:comment ref="E12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raw/wind-accelink-fundamentals.json；报告期以列名为准；亿元；取数2026-09-05。</x:t>
        </x:r>
      </x:text>
    </x:comment>
    <x:comment ref="G1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raw/wind-accelink-fundamentals.json；报告期以列名为准；亿元；取数2026-09-05。</x:t>
        </x:r>
      </x:text>
    </x:comment>
    <x:comment ref="F12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I12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J12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K12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D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raw/wind-tfc-fundamentals.json；报告期以列名为准；亿元；取数2026-09-05。</x:t>
        </x:r>
      </x:text>
    </x:comment>
    <x:comment ref="E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raw/wind-tfc-fundamentals.json；报告期以列名为准；亿元；取数2026-09-05。</x:t>
        </x:r>
      </x:text>
    </x:comment>
    <x:comment ref="G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raw/wind-tfc-fundamentals.json；报告期以列名为准；亿元；取数2026-09-05。</x:t>
        </x:r>
      </x:text>
    </x:comment>
    <x:comment ref="F13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I13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J1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K1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docs/yofc/13-WIND-COMPS-20260902.md；2026H1已冻结且四舍五入的比例。</x:t>
        </x:r>
      </x:text>
    </x:comment>
    <x:comment ref="B35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C35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D35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F35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B36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C36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D36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F36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B37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C37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D37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F37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B38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C38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D38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F38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B39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C39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D39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F39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B40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C40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D40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F40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B41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C41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D41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  <x:comment ref="F41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docs/yofc/13-WIND-COMPS-20260902.md；2026-09-02冻结输入；机构样本PARTIAL，长飞市值为A/H混合。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tc={339E12F2-F707-42F5-A734-A0D537C6C8DB}</x:author>
    <x:author>tc={C060E09E-9151-4D41-AFB1-004018E4FEF9}</x:author>
    <x:author>tc={5920CD11-DD7E-4D0F-B68B-F61DF58A448E}</x:author>
    <x:author>tc={777EC320-EC24-4C31-A16C-0350610BEB21}</x:author>
    <x:author>tc={BB01D84F-4A58-4AAE-9FC1-295454278BD8}</x:author>
    <x:author>tc={28D46DE8-C898-496C-B483-FEC4A9B4C0CE}</x:author>
    <x:author>tc={8A973257-7203-4A72-830D-73A65A3B7AB9}</x:author>
    <x:author>tc={F58158FD-769D-405D-9738-CB93B907D3C5}</x:author>
    <x:author>tc={8E083B64-4314-4CDB-93F6-0E589247010A}</x:author>
    <x:author>tc={AA0DBD2C-0CA9-456F-9B5C-9A7990965F40}</x:author>
    <x:author>tc={6E3DFC70-3371-441D-8146-7C623D7F3413}</x:author>
    <x:author>tc={1FFFC472-2BC4-4D50-A587-70EE1BCB75F1}</x:author>
    <x:author>tc={70072E2C-73B1-45C5-B168-BB6DBD5CD8B8}</x:author>
    <x:author>tc={8A459FF4-7B9B-4EBE-8509-B7B25987FA65}</x:author>
    <x:author>tc={AD554B3F-E865-46B5-A3F5-7267EF0EB8D8}</x:author>
    <x:author>tc={8691D6C6-54B9-44B3-857E-55A73F3DE05E}</x:author>
    <x:author>tc={26FA2A4E-FBFA-4694-A244-037B22AFC73C}</x:author>
    <x:author>tc={3CCD7983-CD13-4739-8ABE-295A5514332E}</x:author>
    <x:author>tc={79F85B8E-A25D-47A7-88EE-D8E936FA0747}</x:author>
    <x:author>tc={7CD65212-FE36-486B-9551-86A5027BE5D4}</x:author>
    <x:author>tc={C5280AB7-C79D-4D6A-8EC7-76D75727DF29}</x:author>
    <x:author>tc={6C9FB4D1-A1BC-4D55-B4BF-C3D0908B631A}</x:author>
    <x:author>tc={120731B2-0223-4772-A07E-8A1B64F7FDAA}</x:author>
    <x:author>tc={038742D2-368C-4112-BC2C-B5259B12076B}</x:author>
    <x:author>tc={EF4346CD-1D6B-4B1F-9B8B-052BBBD2DA4D}</x:author>
    <x:author>tc={4E8E2F27-A9A4-411C-82E9-C5C5806D57BE}</x:author>
    <x:author>tc={62E8ED44-623F-4310-B297-62451BA41291}</x:author>
    <x:author>tc={D26DEF89-7417-40DF-B815-2F6B6A3FC6C5}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W4 raw/wind-yofc-ev.json；2026-09-02；供应商EV亿元；未重建完整桥。</x:t>
        </x:r>
      </x:text>
    </x:comment>
    <x:comment ref="C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raw/wind-yofc-fundamentals.json；2025A反推法EBITDA亿元。</x:t>
        </x:r>
      </x:text>
    </x:comment>
    <x:comment ref="G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已有Wind Comps冻结的2026E P/E；原始机构样本及完整分布PARTIAL。</x:t>
        </x:r>
      </x:text>
    </x:comment>
    <x:comment ref="I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C3 Choice EV2MRQ原数值；按与Wind的数量级交叉核对除1e8，单位及完整桥PARTIAL。</x:t>
        </x:r>
      </x:text>
    </x:comment>
    <x:comment ref="B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W4 raw/wind-ztt-ev.json；2026-09-02；供应商EV亿元；未重建完整桥。</x:t>
        </x:r>
      </x:text>
    </x:comment>
    <x:comment ref="C8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raw/wind-ztt-fundamentals.json；2025A反推法EBITDA亿元。</x:t>
        </x:r>
      </x:text>
    </x:comment>
    <x:comment ref="G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已有Wind Comps冻结的2026E P/E；原始机构样本及完整分布PARTIAL。</x:t>
        </x:r>
      </x:text>
    </x:comment>
    <x:comment ref="I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C3 Choice EV2MRQ原数值；按与Wind的数量级交叉核对除1e8，单位及完整桥PARTIAL。</x:t>
        </x:r>
      </x:text>
    </x:comment>
    <x:comment ref="B9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W4 raw/wind-hengtong-ev.json；2026-09-02；供应商EV亿元；未重建完整桥。</x:t>
        </x:r>
      </x:text>
    </x:comment>
    <x:comment ref="C9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raw/wind-hengtong-fundamentals.json；2025A反推法EBITDA亿元。</x:t>
        </x:r>
      </x:text>
    </x:comment>
    <x:comment ref="G9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已有Wind Comps冻结的2026E P/E；原始机构样本及完整分布PARTIAL。</x:t>
        </x:r>
      </x:text>
    </x:comment>
    <x:comment ref="I9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C3 Choice EV2MRQ原数值；按与Wind的数量级交叉核对除1e8，单位及完整桥PARTIAL。</x:t>
        </x:r>
      </x:text>
    </x:comment>
    <x:comment ref="B10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W4 raw/wind-fiberhome-ev.json；2026-09-02；供应商EV亿元；未重建完整桥。</x:t>
        </x:r>
      </x:text>
    </x:comment>
    <x:comment ref="C10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raw/wind-fiberhome-fundamentals.json；2025A反推法EBITDA亿元。</x:t>
        </x:r>
      </x:text>
    </x:comment>
    <x:comment ref="G10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已有Wind Comps冻结的2026E P/E；原始机构样本及完整分布PARTIAL。</x:t>
        </x:r>
      </x:text>
    </x:comment>
    <x:comment ref="I1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C3 Choice EV2MRQ原数值；按与Wind的数量级交叉核对除1e8，单位及完整桥PARTIAL。</x:t>
        </x:r>
      </x:text>
    </x:comment>
    <x:comment ref="B1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W4 raw/wind-innolight-ev.json；2026-09-02；供应商EV亿元；未重建完整桥。</x:t>
        </x:r>
      </x:text>
    </x:comment>
    <x:comment ref="C1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raw/wind-innolight-fundamentals.json；2025A反推法EBITDA亿元。</x:t>
        </x:r>
      </x:text>
    </x:comment>
    <x:comment ref="G1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已有Wind Comps冻结的2026E P/E；原始机构样本及完整分布PARTIAL。</x:t>
        </x:r>
      </x:text>
    </x:comment>
    <x:comment ref="I1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C3 Choice EV2MRQ原数值；按与Wind的数量级交叉核对除1e8，单位及完整桥PARTIAL。</x:t>
        </x:r>
      </x:text>
    </x:comment>
    <x:comment ref="B12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W4 raw/wind-accelink-ev.json；2026-09-02；供应商EV亿元；未重建完整桥。</x:t>
        </x:r>
      </x:text>
    </x:comment>
    <x:comment ref="C12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raw/wind-accelink-fundamentals.json；2025A反推法EBITDA亿元。</x:t>
        </x:r>
      </x:text>
    </x:comment>
    <x:comment ref="G12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已有Wind Comps冻结的2026E P/E；原始机构样本及完整分布PARTIAL。</x:t>
        </x:r>
      </x:text>
    </x:comment>
    <x:comment ref="I12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C3 Choice EV2MRQ原数值；按与Wind的数量级交叉核对除1e8，单位及完整桥PARTIAL。</x:t>
        </x:r>
      </x:text>
    </x:comment>
    <x:comment ref="B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W4 raw/wind-tfc-ev.json；2026-09-02；供应商EV亿元；未重建完整桥。</x:t>
        </x:r>
      </x:text>
    </x:comment>
    <x:comment ref="C1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W3 raw/wind-tfc-fundamentals.json；2025A反推法EBITDA亿元。</x:t>
        </x:r>
      </x:text>
    </x:comment>
    <x:comment ref="G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L3 已有Wind Comps冻结的2026E P/E；原始机构样本及完整分布PARTIAL。</x:t>
        </x:r>
      </x:text>
    </x:comment>
    <x:comment ref="I1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C3 Choice EV2MRQ原数值；按与Wind的数量级交叉核对除1e8，单位及完整桥PARTIAL。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tc={4B8BCD52-FFE5-4810-8EEB-D2F09144F89D}</x:author>
    <x:author>tc={88261843-2703-47C2-864F-CDD19FCC276D}</x:author>
    <x:author>tc={69E9AA7D-F9E9-4B8B-8495-EB8C712A71C1}</x:author>
    <x:author>tc={7E69D44C-E2DC-40CB-B415-9D06D18410AB}</x:author>
    <x:author>tc={6F3F07CC-AC0E-4729-816A-4E8AD690A431}</x:author>
    <x:author>tc={3DC5C96F-6CF2-4EFB-8713-CC9CAE6B66E3}</x:author>
    <x:author>tc={CAAB12BE-A268-45E8-B6E5-7A65FC27973C}</x:author>
    <x:author>tc={5483F39D-1635-40FD-AB55-901CFA62E8FD}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C1 raw/choice-peer-monthly.json；Choice CSD PETTM；Period=3；日期为返回的实际月末交易日加末端2026-09-02。</x:t>
        </x:r>
      </x:text>
    </x:comment>
    <x:comment ref="C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C1 raw/choice-peer-monthly.json；Choice CSD PETTM；Period=3；日期为返回的实际月末交易日加末端2026-09-02。</x:t>
        </x:r>
      </x:text>
    </x:comment>
    <x:comment ref="D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C1 raw/choice-peer-monthly.json；Choice CSD PETTM；Period=3；日期为返回的实际月末交易日加末端2026-09-02。</x:t>
        </x:r>
      </x:text>
    </x:comment>
    <x:comment ref="E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C1 raw/choice-peer-monthly.json；Choice CSD PETTM；Period=3；日期为返回的实际月末交易日加末端2026-09-02。</x:t>
        </x:r>
      </x:text>
    </x:comment>
    <x:comment ref="F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C1 raw/choice-peer-monthly.json；Choice CSD PETTM；Period=3；日期为返回的实际月末交易日加末端2026-09-02。</x:t>
        </x:r>
      </x:text>
    </x:comment>
    <x:comment ref="G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C1 raw/choice-peer-monthly.json；Choice CSD PETTM；Period=3；日期为返回的实际月末交易日加末端2026-09-02。</x:t>
        </x:r>
      </x:text>
    </x:comment>
    <x:comment ref="H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C1 raw/choice-peer-monthly.json；Choice CSD PETTM；Period=3；日期为返回的实际月末交易日加末端2026-09-02。</x:t>
        </x:r>
      </x:text>
    </x:comment>
    <x:comment ref="I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C2 raw/choice-csi300-monthly.json；Choice CSD PETTM；DelType=1；不拼接Wind。</x:t>
        </x:r>
      </x:text>
    </x:comment>
  </x:commentList>
</x:comments>
</file>

<file path=xl/comments4.xml><?xml version="1.0" encoding="utf-8"?>
<x:comments xmlns:x="http://schemas.openxmlformats.org/spreadsheetml/2006/main">
  <x:authors>
    <x:author>tc={D63F41DB-3179-410D-BAFB-BA103935C526}</x:author>
    <x:author>tc={CCD21EBC-4A61-4E29-9B56-C7C3D187DC87}</x:author>
    <x:author>tc={109A7359-B288-479E-B6D3-3391AFC5776D}</x:author>
    <x:author>tc={84DCB9B6-C285-437B-9ED6-2C0570FE8F24}</x:author>
    <x:author>tc={CFE90A9B-67E3-41C7-8711-85FCA4C0E5D7}</x:author>
    <x:author>tc={D70ED882-5F71-46BF-B7B4-80BD702D1638}</x:author>
    <x:author>tc={8372EBB8-2934-489D-AFAF-4B0FF19C7876}</x:author>
    <x:author>tc={E3DBC48F-6DAD-47B4-B315-9D07666ECFCE}</x:author>
    <x:author>tc={3B040208-115A-461D-89EB-6B5C0437C3DE}</x:author>
    <x:author>tc={437EF01D-7442-4522-A6E8-35E541A253FF}</x:author>
    <x:author>tc={48F98046-A8E1-4B9F-8684-3B520C5CD292}</x:author>
    <x:author>tc={51CF84BD-E0B5-4262-9C91-3FE6D1D0CCC0}</x:author>
    <x:author>tc={6C8F3AD1-A915-41A4-B483-D3E63EF8CD35}</x:author>
    <x:author>tc={5B9D9586-3128-4584-AADC-809B678DBC30}</x:author>
    <x:author>tc={9B85EA94-B9BB-4AA4-A415-26DA5F656DAC}</x:author>
    <x:author>tc={538A88FF-FCA9-4687-92F9-E73C0C6D6B75}</x:author>
    <x:author>tc={2949EDBE-D2E6-4C65-BC16-7E89084B91E3}</x:author>
    <x:author>tc={615EF8FB-8A50-419B-958D-CB1C1A47DF9A}</x:author>
    <x:author>tc={3EB72480-55CC-444B-AE8E-C9E0746ED5ED}</x:author>
    <x:author>tc={0C339FF8-DDCD-4E9F-9F3A-15B8C3736608}</x:author>
    <x:author>tc={B1AC6EAC-C3D6-45F0-BB4B-D6577610E647}</x:author>
    <x:author>tc={A7379264-9AFD-4145-A8BC-DDCEDE3D03F5}</x:author>
    <x:author>tc={E42AC9B2-5F02-4E30-9530-3683CC333CFA}</x:author>
    <x:author>tc={9B99E731-FE6B-4831-A0CE-F31579A8C8FB}</x:author>
    <x:author>tc={4F8B874A-07DF-4920-87F3-F9B922EBFA23}</x:author>
    <x:author>tc={9637B60D-8579-40A6-87C0-72B5CF913E82}</x:author>
    <x:author>tc={4886A23F-0487-435B-B36B-23AB911E2143}</x:author>
    <x:author>tc={15B743FF-F6A3-43E8-B00E-80AA0959E92E}</x:author>
    <x:author>tc={3D1640EB-70C8-45B1-A12D-C0C3DD54C5F1}</x:author>
    <x:author>tc={94C55471-A76B-4611-838E-B87E59ACCEA6}</x:author>
  </x:authors>
  <x:commentList>
    <x:comment ref="E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B1 ../../yofc/04-JEFFERIES-20260722-CASE.md；原报告2026-07-22；币种港元；未按9月2日重新估值。</x:t>
        </x:r>
      </x:text>
    </x:comment>
    <x:comment ref="E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B2 ../../yofc/06-GOLDMAN-20260828-CASE.md；原报告2026-08-28；币种港元；未按9月2日重新估值。</x:t>
        </x:r>
      </x:text>
    </x:comment>
    <x:comment ref="E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B3 ../../yofc/07-NOMURA-20260821-CASE.md；原报告2026-08-21；币种港元；未按9月2日重新估值。</x:t>
        </x:r>
      </x:text>
    </x:comment>
    <x:comment ref="E1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B4 ../../yofc/08-MORGAN-STANLEY-20260823-CASE.md；原报告2026-08-23；币种港元；未按9月2日重新估值。</x:t>
        </x:r>
      </x:text>
    </x:comment>
    <x:comment ref="E1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B5 ../../ztt/01-MORGAN-STANLEY-20260714-CASE.md；原报告2026-07-14；币种人民币元；未按9月2日重新估值。</x:t>
        </x:r>
      </x:text>
    </x:comment>
    <x:comment ref="E1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B6 ../../ztt/04-BOFA-20260828-CASE.md；原报告2026-08-28；币种人民币元；未按9月2日重新估值。</x:t>
        </x:r>
      </x:text>
    </x:comment>
    <x:comment ref="C17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B1 ../../yofc/04-JEFFERIES-20260722-CASE.md；原财务百万元除100，转人民币亿元；保留2026-07-22信息集及报告净利润口径。</x:t>
        </x:r>
      </x:text>
    </x:comment>
    <x:comment ref="D17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B1 ../../yofc/04-JEFFERIES-20260722-CASE.md；原财务百万元除100，转人民币亿元；保留2026-07-22信息集及报告净利润口径。</x:t>
        </x:r>
      </x:text>
    </x:comment>
    <x:comment ref="E17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B1 ../../yofc/04-JEFFERIES-20260722-CASE.md；原财务百万元除100，转人民币亿元；保留2026-07-22信息集及报告净利润口径。</x:t>
        </x:r>
      </x:text>
    </x:comment>
    <x:comment ref="F17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B1 ../../yofc/04-JEFFERIES-20260722-CASE.md；原财务百万元除100，转人民币亿元；保留2026-07-22信息集及报告净利润口径。</x:t>
        </x:r>
      </x:text>
    </x:comment>
    <x:comment ref="C18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B2 ../../yofc/06-GOLDMAN-20260828-CASE.md；原财务百万元除100，转人民币亿元；保留2026-08-28信息集及报告净利润口径。</x:t>
        </x:r>
      </x:text>
    </x:comment>
    <x:comment ref="D18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B2 ../../yofc/06-GOLDMAN-20260828-CASE.md；原财务百万元除100，转人民币亿元；保留2026-08-28信息集及报告净利润口径。</x:t>
        </x:r>
      </x:text>
    </x:comment>
    <x:comment ref="E1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B2 ../../yofc/06-GOLDMAN-20260828-CASE.md；原财务百万元除100，转人民币亿元；保留2026-08-28信息集及报告净利润口径。</x:t>
        </x:r>
      </x:text>
    </x:comment>
    <x:comment ref="F1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B2 ../../yofc/06-GOLDMAN-20260828-CASE.md；原财务百万元除100，转人民币亿元；保留2026-08-28信息集及报告净利润口径。</x:t>
        </x:r>
      </x:text>
    </x:comment>
    <x:comment ref="C1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B3 ../../yofc/07-NOMURA-20260821-CASE.md；原财务百万元除100，转人民币亿元；保留2026-08-21信息集及未披露完整年度表口径。</x:t>
        </x:r>
      </x:text>
    </x:comment>
    <x:comment ref="D19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B3 ../../yofc/07-NOMURA-20260821-CASE.md；原财务百万元除100，转人民币亿元；保留2026-08-21信息集及未披露完整年度表口径。</x:t>
        </x:r>
      </x:text>
    </x:comment>
    <x:comment ref="E19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B3 ../../yofc/07-NOMURA-20260821-CASE.md；原财务百万元除100，转人民币亿元；保留2026-08-21信息集及未披露完整年度表口径。</x:t>
        </x:r>
      </x:text>
    </x:comment>
    <x:comment ref="F19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B3 ../../yofc/07-NOMURA-20260821-CASE.md；原财务百万元除100，转人民币亿元；保留2026-08-21信息集及未披露完整年度表口径。</x:t>
        </x:r>
      </x:text>
    </x:comment>
    <x:comment ref="C20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B4 ../../yofc/08-MORGAN-STANLEY-20260823-CASE.md；原财务百万元除100，转人民币亿元；保留2026-08-23信息集及ModelWare净利润口径。</x:t>
        </x:r>
      </x:text>
    </x:comment>
    <x:comment ref="D20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B4 ../../yofc/08-MORGAN-STANLEY-20260823-CASE.md；原财务百万元除100，转人民币亿元；保留2026-08-23信息集及ModelWare净利润口径。</x:t>
        </x:r>
      </x:text>
    </x:comment>
    <x:comment ref="E20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B4 ../../yofc/08-MORGAN-STANLEY-20260823-CASE.md；原财务百万元除100，转人民币亿元；保留2026-08-23信息集及ModelWare净利润口径。</x:t>
        </x:r>
      </x:text>
    </x:comment>
    <x:comment ref="F20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B4 ../../yofc/08-MORGAN-STANLEY-20260823-CASE.md；原财务百万元除100，转人民币亿元；保留2026-08-23信息集及ModelWare净利润口径。</x:t>
        </x:r>
      </x:text>
    </x:comment>
    <x:comment ref="C21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B5 ../../ztt/01-MORGAN-STANLEY-20260714-CASE.md；原财务百万元除100，转人民币亿元；保留2026-07-14信息集及ModelWare净利润口径。</x:t>
        </x:r>
      </x:text>
    </x:comment>
    <x:comment ref="D21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B5 ../../ztt/01-MORGAN-STANLEY-20260714-CASE.md；原财务百万元除100，转人民币亿元；保留2026-07-14信息集及ModelWare净利润口径。</x:t>
        </x:r>
      </x:text>
    </x:comment>
    <x:comment ref="E21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B5 ../../ztt/01-MORGAN-STANLEY-20260714-CASE.md；原财务百万元除100，转人民币亿元；保留2026-07-14信息集及ModelWare净利润口径。</x:t>
        </x:r>
      </x:text>
    </x:comment>
    <x:comment ref="F2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B5 ../../ztt/01-MORGAN-STANLEY-20260714-CASE.md；原财务百万元除100，转人民币亿元；保留2026-07-14信息集及ModelWare净利润口径。</x:t>
        </x:r>
      </x:text>
    </x:comment>
    <x:comment ref="C22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B6 ../../ztt/04-BOFA-20260828-CASE.md；原财务百万元除100，转人民币亿元；保留2026-08-28信息集及调整后净利润口径。</x:t>
        </x:r>
      </x:text>
    </x:comment>
    <x:comment ref="D22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B6 ../../ztt/04-BOFA-20260828-CASE.md；原财务百万元除100，转人民币亿元；保留2026-08-28信息集及调整后净利润口径。</x:t>
        </x:r>
      </x:text>
    </x:comment>
    <x:comment ref="E22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B6 ../../ztt/04-BOFA-20260828-CASE.md；原财务百万元除100，转人民币亿元；保留2026-08-28信息集及调整后净利润口径。</x:t>
        </x:r>
      </x:text>
    </x:comment>
    <x:comment ref="F22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B6 ../../ztt/04-BOFA-20260828-CASE.md；原财务百万元除100，转人民币亿元；保留2026-08-28信息集及调整后净利润口径。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&quot;—&quot;"/>
    <x:numFmt numFmtId="201" formatCode="0.0%;[Red](0.0%);&quot;—&quot;"/>
    <x:numFmt numFmtId="202" formatCode="#,##0"/>
    <x:numFmt numFmtId="203" formatCode="0.00000"/>
    <x:numFmt numFmtId="204" formatCode="0.00"/>
    <x:numFmt numFmtId="205" formatCode="0.0"/>
    <x:numFmt numFmtId="206" formatCode="0.0000;[Red](0.0000);&quot;—&quot;"/>
    <x:numFmt numFmtId="207" formatCode="0.00&quot;x&quot;"/>
    <x:numFmt numFmtId="208" formatCode="yyyy-mm-dd"/>
    <x:numFmt numFmtId="209" formatCode="0.00%"/>
    <x:numFmt numFmtId="210" formatCode="0.00%;[Red](0.00%)"/>
  </x:numFmts>
  <x:fonts count="10">
    <x:font>
      <x:sz val="11"/>
      <x:name val="Carlito"/>
    </x:font>
    <x:font>
      <x:sz val="10"/>
      <x:color rgb="FF172B4D"/>
      <x:name val="Arial"/>
    </x:font>
    <x:font>
      <x:b/>
      <x:sz val="18"/>
      <x:color rgb="FF000000"/>
      <x:name val="Arial"/>
    </x:font>
    <x:font>
      <x:sz val="10"/>
      <x:color rgb="FF475569"/>
      <x:name val="Arial"/>
    </x:font>
    <x:font>
      <x:sz val="9"/>
      <x:color rgb="FF172B4D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sz val="10"/>
      <x:color rgb="FF00804A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5F8F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8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  <x:xf numFmtId="206" fontId="6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7" fontId="6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200" fontId="9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9" fillId="3" borderId="0" xfId="0" applyNumberFormat="1" applyFont="1" applyFill="1" applyBorder="1"/>
    <x:xf numFmtId="200" fontId="9" fillId="3" borderId="0" xfId="0" applyNumberFormat="1" applyFont="1" applyFill="1" applyBorder="1"/>
    <x:xf numFmtId="200" fontId="6" fillId="3" borderId="0" xfId="0" applyNumberFormat="1" applyFont="1" applyFill="1" applyBorder="1"/>
    <x:xf numFmtId="201" fontId="6" fillId="3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6" fillId="3" borderId="0" xfId="0" applyNumberFormat="1" applyFont="1" applyFill="1" applyBorder="1" applyAlignment="1">
      <x:alignment vertical="center" wrapText="1"/>
    </x:xf>
    <x:xf numFmtId="209" fontId="6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9" fontId="7" fillId="4" borderId="0" xfId="0" applyNumberFormat="1" applyFont="1" applyFill="1" applyBorder="1" applyAlignment="1">
      <x:alignment vertical="center"/>
    </x:xf>
    <x:xf numFmtId="21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7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8ae26ea844676" /><Relationship Type="http://schemas.openxmlformats.org/officeDocument/2006/relationships/theme" Target="/xl/theme/theme1.xml" Id="Re7a712d2dae34544" /><Relationship Type="http://schemas.openxmlformats.org/officeDocument/2006/relationships/sharedStrings" Target="/xl/sharedStrings.xml" Id="R2ce63f0e782749a0" /><Relationship Type="http://schemas.openxmlformats.org/officeDocument/2006/relationships/worksheet" Target="/xl/worksheets/sheet1.xml" Id="R8291c5e1a4584dfa" /><Relationship Type="http://schemas.openxmlformats.org/officeDocument/2006/relationships/worksheet" Target="/xl/worksheets/sheet2.xml" Id="Rb64fa5121a3c4811" /><Relationship Type="http://schemas.openxmlformats.org/officeDocument/2006/relationships/worksheet" Target="/xl/worksheets/sheet3.xml" Id="R080a7414efdb428e" /><Relationship Type="http://schemas.openxmlformats.org/officeDocument/2006/relationships/worksheet" Target="/xl/worksheets/sheet4.xml" Id="R9edea2913d334127" /><Relationship Type="http://schemas.openxmlformats.org/officeDocument/2006/relationships/worksheet" Target="/xl/worksheets/sheet5.xml" Id="R2faa1e492b324081" /><Relationship Type="http://schemas.openxmlformats.org/officeDocument/2006/relationships/worksheet" Target="/xl/worksheets/sheet6.xml" Id="Rcdb1f21e8b6444e9" /><Relationship Type="http://schemas.microsoft.com/office/2017/10/relationships/person" Target="/xl/persons/person.xml" Id="Rb60bececeeaa48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c99116ab04419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87ca1b967c14f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需求增速指数演示 2025 = 100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数据中心指数</c:v>
          </c:tx>
          <c:marker>
            <c:symbol val="none"/>
          </c:marker>
          <c:cat>
            <c:strRef>
              <c:f>'行业需求'!$A$21:$A$26</c:f>
              <c:strCache>
                <c:ptCount val="0"/>
              </c:strCache>
            </c:strRef>
          </c:cat>
          <c:val>
            <c:numRef>
              <c:f>'行业需求'!$B$21:$B$26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电信指数</c:v>
          </c:tx>
          <c:marker>
            <c:symbol val="none"/>
          </c:marker>
          <c:cat>
            <c:strRef>
              <c:f>'行业需求'!$A$21:$A$26</c:f>
              <c:strCache>
                <c:ptCount val="0"/>
              </c:strCache>
            </c:strRef>
          </c:cat>
          <c:val>
            <c:numRef>
              <c:f>'行业需求'!$C$21:$C$26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固定样本月末 TTM P/E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核心组中位数</c:v>
          </c:tx>
          <c:marker>
            <c:symbol val="none"/>
          </c:marker>
          <c:cat>
            <c:strRef>
              <c:f>'历史估值'!$L$7:$L$87</c:f>
              <c:strCache>
                <c:ptCount val="0"/>
              </c:strCache>
            </c:strRef>
          </c:cat>
          <c:val>
            <c:numRef>
              <c:f>'历史估值'!$J$7:$J$87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AI组中位数</c:v>
          </c:tx>
          <c:marker>
            <c:symbol val="none"/>
          </c:marker>
          <c:cat>
            <c:strRef>
              <c:f>'历史估值'!$L$7:$L$87</c:f>
              <c:strCache>
                <c:ptCount val="0"/>
              </c:strCache>
            </c:strRef>
          </c:cat>
          <c:val>
            <c:numRef>
              <c:f>'历史估值'!$K$7:$K$87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长飞A股图源</c:v>
          </c:tx>
          <c:marker>
            <c:symbol val="none"/>
          </c:marker>
          <c:cat>
            <c:strRef>
              <c:f>'历史估值'!$L$7:$L$87</c:f>
              <c:strCache>
                <c:ptCount val="0"/>
              </c:strCache>
            </c:strRef>
          </c:cat>
          <c:val>
            <c:numRef>
              <c:f>'历史估值'!$N$7:$N$87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沪深300</c:v>
          </c:tx>
          <c:marker>
            <c:symbol val="none"/>
          </c:marker>
          <c:cat>
            <c:strRef>
              <c:f>'历史估值'!$L$7:$L$87</c:f>
              <c:strCache>
                <c:ptCount val="0"/>
              </c:strCache>
            </c:strRef>
          </c:cat>
          <c:val>
            <c:numRef>
              <c:f>'历史估值'!$I$7:$I$87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c99116ab04419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107</xdr:row>
      <xdr:rowOff>0</xdr:rowOff>
    </xdr:from>
    <xdr:to>
      <xdr:col>14</xdr:col>
      <xdr:colOff>0</xdr:colOff>
      <xdr:row>130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7ca1b967c14f1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来源与口径" id="{832FA303-8B3D-4917-BDA6-240AD035250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7" dT="2026-09-05T05:08:35.247" personId="{832FA303-8B3D-4917-BDA6-240AD035250F}" id="{61B70BE4-CD92-4E94-9F28-2DDEBB603232}">
    <xltc:text>W3 raw/wind-yofc-fundamentals.json；报告期以列名为准；亿元；取数2026-09-05。</xltc:text>
  </xltc:threadedComment>
  <xltc:threadedComment ref="E7" dT="2026-09-05T05:08:35.247" personId="{832FA303-8B3D-4917-BDA6-240AD035250F}" id="{1AFDF435-4192-4810-B71F-5D48AAA83E71}">
    <xltc:text>W3 raw/wind-yofc-fundamentals.json；报告期以列名为准；亿元；取数2026-09-05。</xltc:text>
  </xltc:threadedComment>
  <xltc:threadedComment ref="G7" dT="2026-09-05T05:08:35.247" personId="{832FA303-8B3D-4917-BDA6-240AD035250F}" id="{1CD63392-03CC-4F64-8DC3-0315163108B4}">
    <xltc:text>W3 raw/wind-yofc-fundamentals.json；报告期以列名为准；亿元；取数2026-09-05。</xltc:text>
  </xltc:threadedComment>
  <xltc:threadedComment ref="F7" dT="2026-09-05T05:08:35.247" personId="{832FA303-8B3D-4917-BDA6-240AD035250F}" id="{7AFEB7D6-A1D7-4050-BE43-BF63434851C9}">
    <xltc:text>L3 docs/yofc/13-WIND-COMPS-20260902.md；2026H1已冻结且四舍五入的比例。</xltc:text>
  </xltc:threadedComment>
  <xltc:threadedComment ref="I7" dT="2026-09-05T05:08:35.247" personId="{832FA303-8B3D-4917-BDA6-240AD035250F}" id="{3C2B0926-9F0C-4DBA-915E-EB4BCD42F320}">
    <xltc:text>L3 docs/yofc/13-WIND-COMPS-20260902.md；2026H1已冻结且四舍五入的比例。</xltc:text>
  </xltc:threadedComment>
  <xltc:threadedComment ref="J7" dT="2026-09-05T05:08:35.247" personId="{832FA303-8B3D-4917-BDA6-240AD035250F}" id="{1B7A472F-09DE-4A58-9EE2-3A57697045B2}">
    <xltc:text>L3 docs/yofc/13-WIND-COMPS-20260902.md；2026H1已冻结且四舍五入的比例。</xltc:text>
  </xltc:threadedComment>
  <xltc:threadedComment ref="K7" dT="2026-09-05T05:08:35.247" personId="{832FA303-8B3D-4917-BDA6-240AD035250F}" id="{335337E1-E330-4D58-BF87-4F4F00568A62}">
    <xltc:text>L3 docs/yofc/13-WIND-COMPS-20260902.md；2026H1已冻结且四舍五入的比例。</xltc:text>
  </xltc:threadedComment>
  <xltc:threadedComment ref="D8" dT="2026-09-05T05:08:35.247" personId="{832FA303-8B3D-4917-BDA6-240AD035250F}" id="{655460A0-49D0-4347-BEAC-EE7FCDCE58F4}">
    <xltc:text>W3 raw/wind-ztt-fundamentals.json；报告期以列名为准；亿元；取数2026-09-05。</xltc:text>
  </xltc:threadedComment>
  <xltc:threadedComment ref="E8" dT="2026-09-05T05:08:35.247" personId="{832FA303-8B3D-4917-BDA6-240AD035250F}" id="{87ADC7CA-3CCF-448A-B406-8C475D6239B1}">
    <xltc:text>W3 raw/wind-ztt-fundamentals.json；报告期以列名为准；亿元；取数2026-09-05。</xltc:text>
  </xltc:threadedComment>
  <xltc:threadedComment ref="G8" dT="2026-09-05T05:08:35.247" personId="{832FA303-8B3D-4917-BDA6-240AD035250F}" id="{BA4E4C63-0D07-4D5C-997A-34C5CBE2EFAC}">
    <xltc:text>W3 raw/wind-ztt-fundamentals.json；报告期以列名为准；亿元；取数2026-09-05。</xltc:text>
  </xltc:threadedComment>
  <xltc:threadedComment ref="F8" dT="2026-09-05T05:08:35.247" personId="{832FA303-8B3D-4917-BDA6-240AD035250F}" id="{B3CF1D88-375C-4FD8-9B7A-AE2E910290AD}">
    <xltc:text>L3 docs/yofc/13-WIND-COMPS-20260902.md；2026H1已冻结且四舍五入的比例。</xltc:text>
  </xltc:threadedComment>
  <xltc:threadedComment ref="I8" dT="2026-09-05T05:08:35.247" personId="{832FA303-8B3D-4917-BDA6-240AD035250F}" id="{D4BE2B3F-3DCF-4BAA-A9C4-49BAB9EFD5EB}">
    <xltc:text>L3 docs/yofc/13-WIND-COMPS-20260902.md；2026H1已冻结且四舍五入的比例。</xltc:text>
  </xltc:threadedComment>
  <xltc:threadedComment ref="J8" dT="2026-09-05T05:08:35.247" personId="{832FA303-8B3D-4917-BDA6-240AD035250F}" id="{A2BE734C-8ECF-4E80-BAEF-B773733D2DD6}">
    <xltc:text>L3 docs/yofc/13-WIND-COMPS-20260902.md；2026H1已冻结且四舍五入的比例。</xltc:text>
  </xltc:threadedComment>
  <xltc:threadedComment ref="K8" dT="2026-09-05T05:08:35.248" personId="{832FA303-8B3D-4917-BDA6-240AD035250F}" id="{813CB05A-DE5B-4ED2-80F4-4BF7B33753EB}">
    <xltc:text>L3 docs/yofc/13-WIND-COMPS-20260902.md；2026H1已冻结且四舍五入的比例。</xltc:text>
  </xltc:threadedComment>
  <xltc:threadedComment ref="D9" dT="2026-09-05T05:08:35.248" personId="{832FA303-8B3D-4917-BDA6-240AD035250F}" id="{2A0483E1-E258-455C-99A7-C7C74E84A6C1}">
    <xltc:text>W3 raw/wind-hengtong-fundamentals.json；报告期以列名为准；亿元；取数2026-09-05。</xltc:text>
  </xltc:threadedComment>
  <xltc:threadedComment ref="E9" dT="2026-09-05T05:08:35.248" personId="{832FA303-8B3D-4917-BDA6-240AD035250F}" id="{C2E783F0-3048-4CD2-80C8-613306CA13CD}">
    <xltc:text>W3 raw/wind-hengtong-fundamentals.json；报告期以列名为准；亿元；取数2026-09-05。</xltc:text>
  </xltc:threadedComment>
  <xltc:threadedComment ref="G9" dT="2026-09-05T05:08:35.248" personId="{832FA303-8B3D-4917-BDA6-240AD035250F}" id="{CEECC9F9-5EB8-4FE1-9097-D45D21739483}">
    <xltc:text>W3 raw/wind-hengtong-fundamentals.json；报告期以列名为准；亿元；取数2026-09-05。</xltc:text>
  </xltc:threadedComment>
  <xltc:threadedComment ref="F9" dT="2026-09-05T05:08:35.248" personId="{832FA303-8B3D-4917-BDA6-240AD035250F}" id="{E3978ED3-1C37-44BE-9FA5-A5C1FB048203}">
    <xltc:text>L3 docs/yofc/13-WIND-COMPS-20260902.md；2026H1已冻结且四舍五入的比例。</xltc:text>
  </xltc:threadedComment>
  <xltc:threadedComment ref="I9" dT="2026-09-05T05:08:35.248" personId="{832FA303-8B3D-4917-BDA6-240AD035250F}" id="{BB81F1F4-2628-4B56-99F2-92C6533166DB}">
    <xltc:text>L3 docs/yofc/13-WIND-COMPS-20260902.md；2026H1已冻结且四舍五入的比例。</xltc:text>
  </xltc:threadedComment>
  <xltc:threadedComment ref="J9" dT="2026-09-05T05:08:35.248" personId="{832FA303-8B3D-4917-BDA6-240AD035250F}" id="{B2C9A5F0-4210-4A52-A161-5AB0002EC5FA}">
    <xltc:text>L3 docs/yofc/13-WIND-COMPS-20260902.md；2026H1已冻结且四舍五入的比例。</xltc:text>
  </xltc:threadedComment>
  <xltc:threadedComment ref="K9" dT="2026-09-05T05:08:35.248" personId="{832FA303-8B3D-4917-BDA6-240AD035250F}" id="{E8BABAE3-2610-46EB-91A1-5888D2431E00}">
    <xltc:text>L3 docs/yofc/13-WIND-COMPS-20260902.md；2026H1已冻结且四舍五入的比例。</xltc:text>
  </xltc:threadedComment>
  <xltc:threadedComment ref="D10" dT="2026-09-05T05:08:35.248" personId="{832FA303-8B3D-4917-BDA6-240AD035250F}" id="{B3550AA3-E71B-48EF-8D77-DCCFB920D34A}">
    <xltc:text>W3 raw/wind-fiberhome-fundamentals.json；报告期以列名为准；亿元；取数2026-09-05。</xltc:text>
  </xltc:threadedComment>
  <xltc:threadedComment ref="E10" dT="2026-09-05T05:08:35.248" personId="{832FA303-8B3D-4917-BDA6-240AD035250F}" id="{8B104B6D-3688-478D-9E0B-000EAF6DE8BF}">
    <xltc:text>W3 raw/wind-fiberhome-fundamentals.json；报告期以列名为准；亿元；取数2026-09-05。</xltc:text>
  </xltc:threadedComment>
  <xltc:threadedComment ref="G10" dT="2026-09-05T05:08:35.248" personId="{832FA303-8B3D-4917-BDA6-240AD035250F}" id="{38DC6653-7D42-4FFC-8234-9B1A870484C7}">
    <xltc:text>W3 raw/wind-fiberhome-fundamentals.json；报告期以列名为准；亿元；取数2026-09-05。</xltc:text>
  </xltc:threadedComment>
  <xltc:threadedComment ref="F10" dT="2026-09-05T05:08:35.248" personId="{832FA303-8B3D-4917-BDA6-240AD035250F}" id="{319FEF02-B049-4F54-8B4D-B398BBC7F37C}">
    <xltc:text>L3 docs/yofc/13-WIND-COMPS-20260902.md；2026H1已冻结且四舍五入的比例。</xltc:text>
  </xltc:threadedComment>
  <xltc:threadedComment ref="I10" dT="2026-09-05T05:08:35.248" personId="{832FA303-8B3D-4917-BDA6-240AD035250F}" id="{07C84FBE-91F4-4226-BD8B-333EEF8B80CA}">
    <xltc:text>L3 docs/yofc/13-WIND-COMPS-20260902.md；2026H1已冻结且四舍五入的比例。</xltc:text>
  </xltc:threadedComment>
  <xltc:threadedComment ref="J10" dT="2026-09-05T05:08:35.248" personId="{832FA303-8B3D-4917-BDA6-240AD035250F}" id="{BC5C0B4D-0741-44C7-87C2-3FB03F6B18F2}">
    <xltc:text>L3 docs/yofc/13-WIND-COMPS-20260902.md；2026H1已冻结且四舍五入的比例。</xltc:text>
  </xltc:threadedComment>
  <xltc:threadedComment ref="K10" dT="2026-09-05T05:08:35.248" personId="{832FA303-8B3D-4917-BDA6-240AD035250F}" id="{DFAE852A-8CB1-41BC-A0D7-7691E2FA5CC5}">
    <xltc:text>L3 docs/yofc/13-WIND-COMPS-20260902.md；2026H1已冻结且四舍五入的比例。</xltc:text>
  </xltc:threadedComment>
  <xltc:threadedComment ref="D11" dT="2026-09-05T05:08:35.248" personId="{832FA303-8B3D-4917-BDA6-240AD035250F}" id="{726F5DA7-A755-4318-9E11-4877750706FD}">
    <xltc:text>W3 raw/wind-innolight-fundamentals.json；报告期以列名为准；亿元；取数2026-09-05。</xltc:text>
  </xltc:threadedComment>
  <xltc:threadedComment ref="E11" dT="2026-09-05T05:08:35.248" personId="{832FA303-8B3D-4917-BDA6-240AD035250F}" id="{44918EE0-EF5E-4F9D-B795-08B861095AEB}">
    <xltc:text>W3 raw/wind-innolight-fundamentals.json；报告期以列名为准；亿元；取数2026-09-05。</xltc:text>
  </xltc:threadedComment>
  <xltc:threadedComment ref="G11" dT="2026-09-05T05:08:35.248" personId="{832FA303-8B3D-4917-BDA6-240AD035250F}" id="{1B70154F-57D3-491E-93ED-7215AB3B261C}">
    <xltc:text>W3 raw/wind-innolight-fundamentals.json；报告期以列名为准；亿元；取数2026-09-05。</xltc:text>
  </xltc:threadedComment>
  <xltc:threadedComment ref="F11" dT="2026-09-05T05:08:35.248" personId="{832FA303-8B3D-4917-BDA6-240AD035250F}" id="{BF34992B-09A6-4103-9896-0D3CFB6C2F47}">
    <xltc:text>L3 docs/yofc/13-WIND-COMPS-20260902.md；2026H1已冻结且四舍五入的比例。</xltc:text>
  </xltc:threadedComment>
  <xltc:threadedComment ref="I11" dT="2026-09-05T05:08:35.248" personId="{832FA303-8B3D-4917-BDA6-240AD035250F}" id="{80AF70B7-2A44-402C-93E6-5043DB35B4AB}">
    <xltc:text>L3 docs/yofc/13-WIND-COMPS-20260902.md；2026H1已冻结且四舍五入的比例。</xltc:text>
  </xltc:threadedComment>
  <xltc:threadedComment ref="J11" dT="2026-09-05T05:08:35.248" personId="{832FA303-8B3D-4917-BDA6-240AD035250F}" id="{36503CB1-FAF4-4BF5-BA46-7C0C3577EB7D}">
    <xltc:text>L3 docs/yofc/13-WIND-COMPS-20260902.md；2026H1已冻结且四舍五入的比例。</xltc:text>
  </xltc:threadedComment>
  <xltc:threadedComment ref="K11" dT="2026-09-05T05:08:35.248" personId="{832FA303-8B3D-4917-BDA6-240AD035250F}" id="{EC47B72F-3107-4687-A09C-A6CE8D61876C}">
    <xltc:text>L3 docs/yofc/13-WIND-COMPS-20260902.md；2026H1已冻结且四舍五入的比例。</xltc:text>
  </xltc:threadedComment>
  <xltc:threadedComment ref="D12" dT="2026-09-05T05:08:35.248" personId="{832FA303-8B3D-4917-BDA6-240AD035250F}" id="{903172BD-5E5C-4B25-9988-8BD56AD6DE39}">
    <xltc:text>W3 raw/wind-accelink-fundamentals.json；报告期以列名为准；亿元；取数2026-09-05。</xltc:text>
  </xltc:threadedComment>
  <xltc:threadedComment ref="E12" dT="2026-09-05T05:08:35.248" personId="{832FA303-8B3D-4917-BDA6-240AD035250F}" id="{713C3A6A-A338-4CAE-B22B-BC200410ADB5}">
    <xltc:text>W3 raw/wind-accelink-fundamentals.json；报告期以列名为准；亿元；取数2026-09-05。</xltc:text>
  </xltc:threadedComment>
  <xltc:threadedComment ref="G12" dT="2026-09-05T05:08:35.248" personId="{832FA303-8B3D-4917-BDA6-240AD035250F}" id="{48C14B11-9021-47F4-A32A-717861BC455B}">
    <xltc:text>W3 raw/wind-accelink-fundamentals.json；报告期以列名为准；亿元；取数2026-09-05。</xltc:text>
  </xltc:threadedComment>
  <xltc:threadedComment ref="F12" dT="2026-09-05T05:08:35.248" personId="{832FA303-8B3D-4917-BDA6-240AD035250F}" id="{C90AF184-1887-4837-9C8E-BF895FF7C6FA}">
    <xltc:text>L3 docs/yofc/13-WIND-COMPS-20260902.md；2026H1已冻结且四舍五入的比例。</xltc:text>
  </xltc:threadedComment>
  <xltc:threadedComment ref="I12" dT="2026-09-05T05:08:35.248" personId="{832FA303-8B3D-4917-BDA6-240AD035250F}" id="{BFE56873-49CA-4530-972C-3C304E0D79FA}">
    <xltc:text>L3 docs/yofc/13-WIND-COMPS-20260902.md；2026H1已冻结且四舍五入的比例。</xltc:text>
  </xltc:threadedComment>
  <xltc:threadedComment ref="J12" dT="2026-09-05T05:08:35.248" personId="{832FA303-8B3D-4917-BDA6-240AD035250F}" id="{E7B96960-5A10-4BF3-92B9-2F3411D0573D}">
    <xltc:text>L3 docs/yofc/13-WIND-COMPS-20260902.md；2026H1已冻结且四舍五入的比例。</xltc:text>
  </xltc:threadedComment>
  <xltc:threadedComment ref="K12" dT="2026-09-05T05:08:35.248" personId="{832FA303-8B3D-4917-BDA6-240AD035250F}" id="{965B2EB1-8B23-4BE1-98C9-65816650BE60}">
    <xltc:text>L3 docs/yofc/13-WIND-COMPS-20260902.md；2026H1已冻结且四舍五入的比例。</xltc:text>
  </xltc:threadedComment>
  <xltc:threadedComment ref="D13" dT="2026-09-05T05:08:35.248" personId="{832FA303-8B3D-4917-BDA6-240AD035250F}" id="{53DEBD08-E564-4FF3-B7B3-6F89916B779B}">
    <xltc:text>W3 raw/wind-tfc-fundamentals.json；报告期以列名为准；亿元；取数2026-09-05。</xltc:text>
  </xltc:threadedComment>
  <xltc:threadedComment ref="E13" dT="2026-09-05T05:08:35.248" personId="{832FA303-8B3D-4917-BDA6-240AD035250F}" id="{F984BECC-3FC7-45BA-B9B1-95C550714C2F}">
    <xltc:text>W3 raw/wind-tfc-fundamentals.json；报告期以列名为准；亿元；取数2026-09-05。</xltc:text>
  </xltc:threadedComment>
  <xltc:threadedComment ref="G13" dT="2026-09-05T05:08:35.248" personId="{832FA303-8B3D-4917-BDA6-240AD035250F}" id="{523B9511-10BA-4A0B-B5D0-0F2A9E1B7D5B}">
    <xltc:text>W3 raw/wind-tfc-fundamentals.json；报告期以列名为准；亿元；取数2026-09-05。</xltc:text>
  </xltc:threadedComment>
  <xltc:threadedComment ref="F13" dT="2026-09-05T05:08:35.248" personId="{832FA303-8B3D-4917-BDA6-240AD035250F}" id="{1163497B-E380-4230-AD2D-CE02DBB9850D}">
    <xltc:text>L3 docs/yofc/13-WIND-COMPS-20260902.md；2026H1已冻结且四舍五入的比例。</xltc:text>
  </xltc:threadedComment>
  <xltc:threadedComment ref="I13" dT="2026-09-05T05:08:35.248" personId="{832FA303-8B3D-4917-BDA6-240AD035250F}" id="{5C763514-77A7-4605-B6DB-600F4B41C0FB}">
    <xltc:text>L3 docs/yofc/13-WIND-COMPS-20260902.md；2026H1已冻结且四舍五入的比例。</xltc:text>
  </xltc:threadedComment>
  <xltc:threadedComment ref="J13" dT="2026-09-05T05:08:35.248" personId="{832FA303-8B3D-4917-BDA6-240AD035250F}" id="{60399884-717F-4EF2-95FB-0A2A481CAF90}">
    <xltc:text>L3 docs/yofc/13-WIND-COMPS-20260902.md；2026H1已冻结且四舍五入的比例。</xltc:text>
  </xltc:threadedComment>
  <xltc:threadedComment ref="K13" dT="2026-09-05T05:08:35.248" personId="{832FA303-8B3D-4917-BDA6-240AD035250F}" id="{5B9A054A-A187-41C3-A2C9-A2842A9F7C6F}">
    <xltc:text>L3 docs/yofc/13-WIND-COMPS-20260902.md；2026H1已冻结且四舍五入的比例。</xltc:text>
  </xltc:threadedComment>
  <xltc:threadedComment ref="B35" dT="2026-09-05T05:08:35.29" personId="{832FA303-8B3D-4917-BDA6-240AD035250F}" id="{931D5B8E-0A1B-437C-AD3E-DAC85E70EC97}">
    <xltc:text>L3 docs/yofc/13-WIND-COMPS-20260902.md；2026-09-02冻结输入；机构样本PARTIAL，长飞市值为A/H混合。</xltc:text>
  </xltc:threadedComment>
  <xltc:threadedComment ref="C35" dT="2026-09-05T05:08:35.29" personId="{832FA303-8B3D-4917-BDA6-240AD035250F}" id="{59C88AB5-2E5C-470B-8956-ACA66D490207}">
    <xltc:text>L3 docs/yofc/13-WIND-COMPS-20260902.md；2026-09-02冻结输入；机构样本PARTIAL，长飞市值为A/H混合。</xltc:text>
  </xltc:threadedComment>
  <xltc:threadedComment ref="D35" dT="2026-09-05T05:08:35.29" personId="{832FA303-8B3D-4917-BDA6-240AD035250F}" id="{4CDAF6A6-3727-44AF-ACE0-CBDF15960C40}">
    <xltc:text>L3 docs/yofc/13-WIND-COMPS-20260902.md；2026-09-02冻结输入；机构样本PARTIAL，长飞市值为A/H混合。</xltc:text>
  </xltc:threadedComment>
  <xltc:threadedComment ref="F35" dT="2026-09-05T05:08:35.29" personId="{832FA303-8B3D-4917-BDA6-240AD035250F}" id="{31E15BD7-C21D-4E6F-B7B7-8EBA056AB4A0}">
    <xltc:text>L3 docs/yofc/13-WIND-COMPS-20260902.md；2026-09-02冻结输入；机构样本PARTIAL，长飞市值为A/H混合。</xltc:text>
  </xltc:threadedComment>
  <xltc:threadedComment ref="B36" dT="2026-09-05T05:08:35.29" personId="{832FA303-8B3D-4917-BDA6-240AD035250F}" id="{8EE99142-5459-49D0-AA7D-8429ECB322AC}">
    <xltc:text>L3 docs/yofc/13-WIND-COMPS-20260902.md；2026-09-02冻结输入；机构样本PARTIAL，长飞市值为A/H混合。</xltc:text>
  </xltc:threadedComment>
  <xltc:threadedComment ref="C36" dT="2026-09-05T05:08:35.29" personId="{832FA303-8B3D-4917-BDA6-240AD035250F}" id="{CCA51F2D-4F1F-4C94-92ED-0956B123272B}">
    <xltc:text>L3 docs/yofc/13-WIND-COMPS-20260902.md；2026-09-02冻结输入；机构样本PARTIAL，长飞市值为A/H混合。</xltc:text>
  </xltc:threadedComment>
  <xltc:threadedComment ref="D36" dT="2026-09-05T05:08:35.29" personId="{832FA303-8B3D-4917-BDA6-240AD035250F}" id="{BF3E4E71-1F7D-4F43-BD1E-4C2369210CFC}">
    <xltc:text>L3 docs/yofc/13-WIND-COMPS-20260902.md；2026-09-02冻结输入；机构样本PARTIAL，长飞市值为A/H混合。</xltc:text>
  </xltc:threadedComment>
  <xltc:threadedComment ref="F36" dT="2026-09-05T05:08:35.29" personId="{832FA303-8B3D-4917-BDA6-240AD035250F}" id="{44E49191-9170-4D36-A138-0F2EDF60F6A4}">
    <xltc:text>L3 docs/yofc/13-WIND-COMPS-20260902.md；2026-09-02冻结输入；机构样本PARTIAL，长飞市值为A/H混合。</xltc:text>
  </xltc:threadedComment>
  <xltc:threadedComment ref="B37" dT="2026-09-05T05:08:35.29" personId="{832FA303-8B3D-4917-BDA6-240AD035250F}" id="{6E3FD11F-4B0D-48ED-808E-594B96531111}">
    <xltc:text>L3 docs/yofc/13-WIND-COMPS-20260902.md；2026-09-02冻结输入；机构样本PARTIAL，长飞市值为A/H混合。</xltc:text>
  </xltc:threadedComment>
  <xltc:threadedComment ref="C37" dT="2026-09-05T05:08:35.29" personId="{832FA303-8B3D-4917-BDA6-240AD035250F}" id="{5B44C764-D690-4049-AC73-C8AA69D51728}">
    <xltc:text>L3 docs/yofc/13-WIND-COMPS-20260902.md；2026-09-02冻结输入；机构样本PARTIAL，长飞市值为A/H混合。</xltc:text>
  </xltc:threadedComment>
  <xltc:threadedComment ref="D37" dT="2026-09-05T05:08:35.29" personId="{832FA303-8B3D-4917-BDA6-240AD035250F}" id="{A74C2A5B-520B-4DB4-A8A1-69F0F78E0F50}">
    <xltc:text>L3 docs/yofc/13-WIND-COMPS-20260902.md；2026-09-02冻结输入；机构样本PARTIAL，长飞市值为A/H混合。</xltc:text>
  </xltc:threadedComment>
  <xltc:threadedComment ref="F37" dT="2026-09-05T05:08:35.29" personId="{832FA303-8B3D-4917-BDA6-240AD035250F}" id="{E6092D19-106F-4943-90C8-2C166D4EA41E}">
    <xltc:text>L3 docs/yofc/13-WIND-COMPS-20260902.md；2026-09-02冻结输入；机构样本PARTIAL，长飞市值为A/H混合。</xltc:text>
  </xltc:threadedComment>
  <xltc:threadedComment ref="B38" dT="2026-09-05T05:08:35.29" personId="{832FA303-8B3D-4917-BDA6-240AD035250F}" id="{ED9AF387-0DF9-49B7-92CB-A64DB2B96133}">
    <xltc:text>L3 docs/yofc/13-WIND-COMPS-20260902.md；2026-09-02冻结输入；机构样本PARTIAL，长飞市值为A/H混合。</xltc:text>
  </xltc:threadedComment>
  <xltc:threadedComment ref="C38" dT="2026-09-05T05:08:35.29" personId="{832FA303-8B3D-4917-BDA6-240AD035250F}" id="{C38D6BA7-E5C5-426B-8956-12153119A651}">
    <xltc:text>L3 docs/yofc/13-WIND-COMPS-20260902.md；2026-09-02冻结输入；机构样本PARTIAL，长飞市值为A/H混合。</xltc:text>
  </xltc:threadedComment>
  <xltc:threadedComment ref="D38" dT="2026-09-05T05:08:35.29" personId="{832FA303-8B3D-4917-BDA6-240AD035250F}" id="{CE4339E8-FAF9-4312-B7FE-CD3F67F697B1}">
    <xltc:text>L3 docs/yofc/13-WIND-COMPS-20260902.md；2026-09-02冻结输入；机构样本PARTIAL，长飞市值为A/H混合。</xltc:text>
  </xltc:threadedComment>
  <xltc:threadedComment ref="F38" dT="2026-09-05T05:08:35.29" personId="{832FA303-8B3D-4917-BDA6-240AD035250F}" id="{9D3C7A19-15C1-46E5-8B61-FB41FD00E160}">
    <xltc:text>L3 docs/yofc/13-WIND-COMPS-20260902.md；2026-09-02冻结输入；机构样本PARTIAL，长飞市值为A/H混合。</xltc:text>
  </xltc:threadedComment>
  <xltc:threadedComment ref="B39" dT="2026-09-05T05:08:35.29" personId="{832FA303-8B3D-4917-BDA6-240AD035250F}" id="{97B5E6BE-24FA-4F3E-9C84-A958693970C1}">
    <xltc:text>L3 docs/yofc/13-WIND-COMPS-20260902.md；2026-09-02冻结输入；机构样本PARTIAL，长飞市值为A/H混合。</xltc:text>
  </xltc:threadedComment>
  <xltc:threadedComment ref="C39" dT="2026-09-05T05:08:35.29" personId="{832FA303-8B3D-4917-BDA6-240AD035250F}" id="{1C6FBEA3-B5D8-4560-A0FA-EDBC3B985C51}">
    <xltc:text>L3 docs/yofc/13-WIND-COMPS-20260902.md；2026-09-02冻结输入；机构样本PARTIAL，长飞市值为A/H混合。</xltc:text>
  </xltc:threadedComment>
  <xltc:threadedComment ref="D39" dT="2026-09-05T05:08:35.29" personId="{832FA303-8B3D-4917-BDA6-240AD035250F}" id="{D7F0E528-51D0-4D5D-98D5-3F0AA3DE48BF}">
    <xltc:text>L3 docs/yofc/13-WIND-COMPS-20260902.md；2026-09-02冻结输入；机构样本PARTIAL，长飞市值为A/H混合。</xltc:text>
  </xltc:threadedComment>
  <xltc:threadedComment ref="F39" dT="2026-09-05T05:08:35.29" personId="{832FA303-8B3D-4917-BDA6-240AD035250F}" id="{3CA77A68-436F-47D2-94EF-71793F3E43C4}">
    <xltc:text>L3 docs/yofc/13-WIND-COMPS-20260902.md；2026-09-02冻结输入；机构样本PARTIAL，长飞市值为A/H混合。</xltc:text>
  </xltc:threadedComment>
  <xltc:threadedComment ref="B40" dT="2026-09-05T05:08:35.29" personId="{832FA303-8B3D-4917-BDA6-240AD035250F}" id="{70E18122-7BE9-4C0A-BE6E-E6EFF14D06C2}">
    <xltc:text>L3 docs/yofc/13-WIND-COMPS-20260902.md；2026-09-02冻结输入；机构样本PARTIAL，长飞市值为A/H混合。</xltc:text>
  </xltc:threadedComment>
  <xltc:threadedComment ref="C40" dT="2026-09-05T05:08:35.29" personId="{832FA303-8B3D-4917-BDA6-240AD035250F}" id="{5916740F-9C6F-4C05-84C2-1E2F7A83C877}">
    <xltc:text>L3 docs/yofc/13-WIND-COMPS-20260902.md；2026-09-02冻结输入；机构样本PARTIAL，长飞市值为A/H混合。</xltc:text>
  </xltc:threadedComment>
  <xltc:threadedComment ref="D40" dT="2026-09-05T05:08:35.29" personId="{832FA303-8B3D-4917-BDA6-240AD035250F}" id="{4EB8E7E5-023A-46D8-8245-CFB440653796}">
    <xltc:text>L3 docs/yofc/13-WIND-COMPS-20260902.md；2026-09-02冻结输入；机构样本PARTIAL，长飞市值为A/H混合。</xltc:text>
  </xltc:threadedComment>
  <xltc:threadedComment ref="F40" dT="2026-09-05T05:08:35.29" personId="{832FA303-8B3D-4917-BDA6-240AD035250F}" id="{DDA3088E-64A6-46A3-BDBC-E85D5E1033A1}">
    <xltc:text>L3 docs/yofc/13-WIND-COMPS-20260902.md；2026-09-02冻结输入；机构样本PARTIAL，长飞市值为A/H混合。</xltc:text>
  </xltc:threadedComment>
  <xltc:threadedComment ref="B41" dT="2026-09-05T05:08:35.29" personId="{832FA303-8B3D-4917-BDA6-240AD035250F}" id="{959F533E-916C-4644-A4C8-95B8B17893C4}">
    <xltc:text>L3 docs/yofc/13-WIND-COMPS-20260902.md；2026-09-02冻结输入；机构样本PARTIAL，长飞市值为A/H混合。</xltc:text>
  </xltc:threadedComment>
  <xltc:threadedComment ref="C41" dT="2026-09-05T05:08:35.29" personId="{832FA303-8B3D-4917-BDA6-240AD035250F}" id="{C40CBB05-F70B-4063-804C-DD65EFE1F474}">
    <xltc:text>L3 docs/yofc/13-WIND-COMPS-20260902.md；2026-09-02冻结输入；机构样本PARTIAL，长飞市值为A/H混合。</xltc:text>
  </xltc:threadedComment>
  <xltc:threadedComment ref="D41" dT="2026-09-05T05:08:35.29" personId="{832FA303-8B3D-4917-BDA6-240AD035250F}" id="{6BF36C58-FA5C-4C4E-81BF-A0D0FDD0F3C3}">
    <xltc:text>L3 docs/yofc/13-WIND-COMPS-20260902.md；2026-09-02冻结输入；机构样本PARTIAL，长飞市值为A/H混合。</xltc:text>
  </xltc:threadedComment>
  <xltc:threadedComment ref="F41" dT="2026-09-05T05:08:35.29" personId="{832FA303-8B3D-4917-BDA6-240AD035250F}" id="{3F65BD26-AB2C-42EF-BF23-8293790C2B74}">
    <xltc:text>L3 docs/yofc/13-WIND-COMPS-20260902.md；2026-09-02冻结输入；机构样本PARTIAL，长飞市值为A/H混合。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7" dT="2026-09-05T05:08:35.263" personId="{832FA303-8B3D-4917-BDA6-240AD035250F}" id="{339E12F2-F707-42F5-A734-A0D537C6C8DB}">
    <xltc:text>W4 raw/wind-yofc-ev.json；2026-09-02；供应商EV亿元；未重建完整桥。</xltc:text>
  </xltc:threadedComment>
  <xltc:threadedComment ref="C7" dT="2026-09-05T05:08:35.263" personId="{832FA303-8B3D-4917-BDA6-240AD035250F}" id="{C060E09E-9151-4D41-AFB1-004018E4FEF9}">
    <xltc:text>W3 raw/wind-yofc-fundamentals.json；2025A反推法EBITDA亿元。</xltc:text>
  </xltc:threadedComment>
  <xltc:threadedComment ref="G7" dT="2026-09-05T05:08:35.263" personId="{832FA303-8B3D-4917-BDA6-240AD035250F}" id="{5920CD11-DD7E-4D0F-B68B-F61DF58A448E}">
    <xltc:text>L3 已有Wind Comps冻结的2026E P/E；原始机构样本及完整分布PARTIAL。</xltc:text>
  </xltc:threadedComment>
  <xltc:threadedComment ref="I7" dT="2026-09-05T05:08:35.263" personId="{832FA303-8B3D-4917-BDA6-240AD035250F}" id="{777EC320-EC24-4C31-A16C-0350610BEB21}">
    <xltc:text>C3 Choice EV2MRQ原数值；按与Wind的数量级交叉核对除1e8，单位及完整桥PARTIAL。</xltc:text>
  </xltc:threadedComment>
  <xltc:threadedComment ref="B8" dT="2026-09-05T05:08:35.263" personId="{832FA303-8B3D-4917-BDA6-240AD035250F}" id="{BB01D84F-4A58-4AAE-9FC1-295454278BD8}">
    <xltc:text>W4 raw/wind-ztt-ev.json；2026-09-02；供应商EV亿元；未重建完整桥。</xltc:text>
  </xltc:threadedComment>
  <xltc:threadedComment ref="C8" dT="2026-09-05T05:08:35.263" personId="{832FA303-8B3D-4917-BDA6-240AD035250F}" id="{28D46DE8-C898-496C-B483-FEC4A9B4C0CE}">
    <xltc:text>W3 raw/wind-ztt-fundamentals.json；2025A反推法EBITDA亿元。</xltc:text>
  </xltc:threadedComment>
  <xltc:threadedComment ref="G8" dT="2026-09-05T05:08:35.263" personId="{832FA303-8B3D-4917-BDA6-240AD035250F}" id="{8A973257-7203-4A72-830D-73A65A3B7AB9}">
    <xltc:text>L3 已有Wind Comps冻结的2026E P/E；原始机构样本及完整分布PARTIAL。</xltc:text>
  </xltc:threadedComment>
  <xltc:threadedComment ref="I8" dT="2026-09-05T05:08:35.263" personId="{832FA303-8B3D-4917-BDA6-240AD035250F}" id="{F58158FD-769D-405D-9738-CB93B907D3C5}">
    <xltc:text>C3 Choice EV2MRQ原数值；按与Wind的数量级交叉核对除1e8，单位及完整桥PARTIAL。</xltc:text>
  </xltc:threadedComment>
  <xltc:threadedComment ref="B9" dT="2026-09-05T05:08:35.264" personId="{832FA303-8B3D-4917-BDA6-240AD035250F}" id="{8E083B64-4314-4CDB-93F6-0E589247010A}">
    <xltc:text>W4 raw/wind-hengtong-ev.json；2026-09-02；供应商EV亿元；未重建完整桥。</xltc:text>
  </xltc:threadedComment>
  <xltc:threadedComment ref="C9" dT="2026-09-05T05:08:35.264" personId="{832FA303-8B3D-4917-BDA6-240AD035250F}" id="{AA0DBD2C-0CA9-456F-9B5C-9A7990965F40}">
    <xltc:text>W3 raw/wind-hengtong-fundamentals.json；2025A反推法EBITDA亿元。</xltc:text>
  </xltc:threadedComment>
  <xltc:threadedComment ref="G9" dT="2026-09-05T05:08:35.264" personId="{832FA303-8B3D-4917-BDA6-240AD035250F}" id="{6E3DFC70-3371-441D-8146-7C623D7F3413}">
    <xltc:text>L3 已有Wind Comps冻结的2026E P/E；原始机构样本及完整分布PARTIAL。</xltc:text>
  </xltc:threadedComment>
  <xltc:threadedComment ref="I9" dT="2026-09-05T05:08:35.264" personId="{832FA303-8B3D-4917-BDA6-240AD035250F}" id="{1FFFC472-2BC4-4D50-A587-70EE1BCB75F1}">
    <xltc:text>C3 Choice EV2MRQ原数值；按与Wind的数量级交叉核对除1e8，单位及完整桥PARTIAL。</xltc:text>
  </xltc:threadedComment>
  <xltc:threadedComment ref="B10" dT="2026-09-05T05:08:35.264" personId="{832FA303-8B3D-4917-BDA6-240AD035250F}" id="{70072E2C-73B1-45C5-B168-BB6DBD5CD8B8}">
    <xltc:text>W4 raw/wind-fiberhome-ev.json；2026-09-02；供应商EV亿元；未重建完整桥。</xltc:text>
  </xltc:threadedComment>
  <xltc:threadedComment ref="C10" dT="2026-09-05T05:08:35.264" personId="{832FA303-8B3D-4917-BDA6-240AD035250F}" id="{8A459FF4-7B9B-4EBE-8509-B7B25987FA65}">
    <xltc:text>W3 raw/wind-fiberhome-fundamentals.json；2025A反推法EBITDA亿元。</xltc:text>
  </xltc:threadedComment>
  <xltc:threadedComment ref="G10" dT="2026-09-05T05:08:35.264" personId="{832FA303-8B3D-4917-BDA6-240AD035250F}" id="{AD554B3F-E865-46B5-A3F5-7267EF0EB8D8}">
    <xltc:text>L3 已有Wind Comps冻结的2026E P/E；原始机构样本及完整分布PARTIAL。</xltc:text>
  </xltc:threadedComment>
  <xltc:threadedComment ref="I10" dT="2026-09-05T05:08:35.264" personId="{832FA303-8B3D-4917-BDA6-240AD035250F}" id="{8691D6C6-54B9-44B3-857E-55A73F3DE05E}">
    <xltc:text>C3 Choice EV2MRQ原数值；按与Wind的数量级交叉核对除1e8，单位及完整桥PARTIAL。</xltc:text>
  </xltc:threadedComment>
  <xltc:threadedComment ref="B11" dT="2026-09-05T05:08:35.264" personId="{832FA303-8B3D-4917-BDA6-240AD035250F}" id="{26FA2A4E-FBFA-4694-A244-037B22AFC73C}">
    <xltc:text>W4 raw/wind-innolight-ev.json；2026-09-02；供应商EV亿元；未重建完整桥。</xltc:text>
  </xltc:threadedComment>
  <xltc:threadedComment ref="C11" dT="2026-09-05T05:08:35.264" personId="{832FA303-8B3D-4917-BDA6-240AD035250F}" id="{3CCD7983-CD13-4739-8ABE-295A5514332E}">
    <xltc:text>W3 raw/wind-innolight-fundamentals.json；2025A反推法EBITDA亿元。</xltc:text>
  </xltc:threadedComment>
  <xltc:threadedComment ref="G11" dT="2026-09-05T05:08:35.264" personId="{832FA303-8B3D-4917-BDA6-240AD035250F}" id="{79F85B8E-A25D-47A7-88EE-D8E936FA0747}">
    <xltc:text>L3 已有Wind Comps冻结的2026E P/E；原始机构样本及完整分布PARTIAL。</xltc:text>
  </xltc:threadedComment>
  <xltc:threadedComment ref="I11" dT="2026-09-05T05:08:35.264" personId="{832FA303-8B3D-4917-BDA6-240AD035250F}" id="{7CD65212-FE36-486B-9551-86A5027BE5D4}">
    <xltc:text>C3 Choice EV2MRQ原数值；按与Wind的数量级交叉核对除1e8，单位及完整桥PARTIAL。</xltc:text>
  </xltc:threadedComment>
  <xltc:threadedComment ref="B12" dT="2026-09-05T05:08:35.264" personId="{832FA303-8B3D-4917-BDA6-240AD035250F}" id="{C5280AB7-C79D-4D6A-8EC7-76D75727DF29}">
    <xltc:text>W4 raw/wind-accelink-ev.json；2026-09-02；供应商EV亿元；未重建完整桥。</xltc:text>
  </xltc:threadedComment>
  <xltc:threadedComment ref="C12" dT="2026-09-05T05:08:35.264" personId="{832FA303-8B3D-4917-BDA6-240AD035250F}" id="{6C9FB4D1-A1BC-4D55-B4BF-C3D0908B631A}">
    <xltc:text>W3 raw/wind-accelink-fundamentals.json；2025A反推法EBITDA亿元。</xltc:text>
  </xltc:threadedComment>
  <xltc:threadedComment ref="G12" dT="2026-09-05T05:08:35.264" personId="{832FA303-8B3D-4917-BDA6-240AD035250F}" id="{120731B2-0223-4772-A07E-8A1B64F7FDAA}">
    <xltc:text>L3 已有Wind Comps冻结的2026E P/E；原始机构样本及完整分布PARTIAL。</xltc:text>
  </xltc:threadedComment>
  <xltc:threadedComment ref="I12" dT="2026-09-05T05:08:35.264" personId="{832FA303-8B3D-4917-BDA6-240AD035250F}" id="{038742D2-368C-4112-BC2C-B5259B12076B}">
    <xltc:text>C3 Choice EV2MRQ原数值；按与Wind的数量级交叉核对除1e8，单位及完整桥PARTIAL。</xltc:text>
  </xltc:threadedComment>
  <xltc:threadedComment ref="B13" dT="2026-09-05T05:08:35.264" personId="{832FA303-8B3D-4917-BDA6-240AD035250F}" id="{EF4346CD-1D6B-4B1F-9B8B-052BBBD2DA4D}">
    <xltc:text>W4 raw/wind-tfc-ev.json；2026-09-02；供应商EV亿元；未重建完整桥。</xltc:text>
  </xltc:threadedComment>
  <xltc:threadedComment ref="C13" dT="2026-09-05T05:08:35.264" personId="{832FA303-8B3D-4917-BDA6-240AD035250F}" id="{4E8E2F27-A9A4-411C-82E9-C5C5806D57BE}">
    <xltc:text>W3 raw/wind-tfc-fundamentals.json；2025A反推法EBITDA亿元。</xltc:text>
  </xltc:threadedComment>
  <xltc:threadedComment ref="G13" dT="2026-09-05T05:08:35.264" personId="{832FA303-8B3D-4917-BDA6-240AD035250F}" id="{62E8ED44-623F-4310-B297-62451BA41291}">
    <xltc:text>L3 已有Wind Comps冻结的2026E P/E；原始机构样本及完整分布PARTIAL。</xltc:text>
  </xltc:threadedComment>
  <xltc:threadedComment ref="I13" dT="2026-09-05T05:08:35.264" personId="{832FA303-8B3D-4917-BDA6-240AD035250F}" id="{D26DEF89-7417-40DF-B815-2F6B6A3FC6C5}">
    <xltc:text>C3 Choice EV2MRQ原数值；按与Wind的数量级交叉核对除1e8，单位及完整桥PARTIAL。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6" dT="2026-09-05T05:08:35.287" personId="{832FA303-8B3D-4917-BDA6-240AD035250F}" id="{4B8BCD52-FFE5-4810-8EEB-D2F09144F89D}">
    <xltc:text>C1 raw/choice-peer-monthly.json；Choice CSD PETTM；Period=3；日期为返回的实际月末交易日加末端2026-09-02。</xltc:text>
  </xltc:threadedComment>
  <xltc:threadedComment ref="C6" dT="2026-09-05T05:08:35.287" personId="{832FA303-8B3D-4917-BDA6-240AD035250F}" id="{88261843-2703-47C2-864F-CDD19FCC276D}">
    <xltc:text>C1 raw/choice-peer-monthly.json；Choice CSD PETTM；Period=3；日期为返回的实际月末交易日加末端2026-09-02。</xltc:text>
  </xltc:threadedComment>
  <xltc:threadedComment ref="D6" dT="2026-09-05T05:08:35.287" personId="{832FA303-8B3D-4917-BDA6-240AD035250F}" id="{69E9AA7D-F9E9-4B8B-8495-EB8C712A71C1}">
    <xltc:text>C1 raw/choice-peer-monthly.json；Choice CSD PETTM；Period=3；日期为返回的实际月末交易日加末端2026-09-02。</xltc:text>
  </xltc:threadedComment>
  <xltc:threadedComment ref="E6" dT="2026-09-05T05:08:35.287" personId="{832FA303-8B3D-4917-BDA6-240AD035250F}" id="{7E69D44C-E2DC-40CB-B415-9D06D18410AB}">
    <xltc:text>C1 raw/choice-peer-monthly.json；Choice CSD PETTM；Period=3；日期为返回的实际月末交易日加末端2026-09-02。</xltc:text>
  </xltc:threadedComment>
  <xltc:threadedComment ref="F6" dT="2026-09-05T05:08:35.287" personId="{832FA303-8B3D-4917-BDA6-240AD035250F}" id="{6F3F07CC-AC0E-4729-816A-4E8AD690A431}">
    <xltc:text>C1 raw/choice-peer-monthly.json；Choice CSD PETTM；Period=3；日期为返回的实际月末交易日加末端2026-09-02。</xltc:text>
  </xltc:threadedComment>
  <xltc:threadedComment ref="G6" dT="2026-09-05T05:08:35.287" personId="{832FA303-8B3D-4917-BDA6-240AD035250F}" id="{3DC5C96F-6CF2-4EFB-8713-CC9CAE6B66E3}">
    <xltc:text>C1 raw/choice-peer-monthly.json；Choice CSD PETTM；Period=3；日期为返回的实际月末交易日加末端2026-09-02。</xltc:text>
  </xltc:threadedComment>
  <xltc:threadedComment ref="H6" dT="2026-09-05T05:08:35.287" personId="{832FA303-8B3D-4917-BDA6-240AD035250F}" id="{CAAB12BE-A268-45E8-B6E5-7A65FC27973C}">
    <xltc:text>C1 raw/choice-peer-monthly.json；Choice CSD PETTM；Period=3；日期为返回的实际月末交易日加末端2026-09-02。</xltc:text>
  </xltc:threadedComment>
  <xltc:threadedComment ref="I6" dT="2026-09-05T05:08:35.287" personId="{832FA303-8B3D-4917-BDA6-240AD035250F}" id="{5483F39D-1635-40FD-AB55-901CFA62E8FD}">
    <xltc:text>C2 raw/choice-csi300-monthly.json；Choice CSD PETTM；DelType=1；不拼接Wind。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E7" dT="2026-09-05T05:08:35.293" personId="{832FA303-8B3D-4917-BDA6-240AD035250F}" id="{D63F41DB-3179-410D-BAFB-BA103935C526}">
    <xltc:text>B1 ../../yofc/04-JEFFERIES-20260722-CASE.md；原报告2026-07-22；币种港元；未按9月2日重新估值。</xltc:text>
  </xltc:threadedComment>
  <xltc:threadedComment ref="E8" dT="2026-09-05T05:08:35.293" personId="{832FA303-8B3D-4917-BDA6-240AD035250F}" id="{CCD21EBC-4A61-4E29-9B56-C7C3D187DC87}">
    <xltc:text>B2 ../../yofc/06-GOLDMAN-20260828-CASE.md；原报告2026-08-28；币种港元；未按9月2日重新估值。</xltc:text>
  </xltc:threadedComment>
  <xltc:threadedComment ref="E9" dT="2026-09-05T05:08:35.293" personId="{832FA303-8B3D-4917-BDA6-240AD035250F}" id="{109A7359-B288-479E-B6D3-3391AFC5776D}">
    <xltc:text>B3 ../../yofc/07-NOMURA-20260821-CASE.md；原报告2026-08-21；币种港元；未按9月2日重新估值。</xltc:text>
  </xltc:threadedComment>
  <xltc:threadedComment ref="E10" dT="2026-09-05T05:08:35.293" personId="{832FA303-8B3D-4917-BDA6-240AD035250F}" id="{84DCB9B6-C285-437B-9ED6-2C0570FE8F24}">
    <xltc:text>B4 ../../yofc/08-MORGAN-STANLEY-20260823-CASE.md；原报告2026-08-23；币种港元；未按9月2日重新估值。</xltc:text>
  </xltc:threadedComment>
  <xltc:threadedComment ref="E11" dT="2026-09-05T05:08:35.293" personId="{832FA303-8B3D-4917-BDA6-240AD035250F}" id="{CFE90A9B-67E3-41C7-8711-85FCA4C0E5D7}">
    <xltc:text>B5 ../../ztt/01-MORGAN-STANLEY-20260714-CASE.md；原报告2026-07-14；币种人民币元；未按9月2日重新估值。</xltc:text>
  </xltc:threadedComment>
  <xltc:threadedComment ref="E12" dT="2026-09-05T05:08:35.293" personId="{832FA303-8B3D-4917-BDA6-240AD035250F}" id="{D70ED882-5F71-46BF-B7B4-80BD702D1638}">
    <xltc:text>B6 ../../ztt/04-BOFA-20260828-CASE.md；原报告2026-08-28；币种人民币元；未按9月2日重新估值。</xltc:text>
  </xltc:threadedComment>
  <xltc:threadedComment ref="C17" dT="2026-09-05T05:08:35.293" personId="{832FA303-8B3D-4917-BDA6-240AD035250F}" id="{8372EBB8-2934-489D-AFAF-4B0FF19C7876}">
    <xltc:text>B1 ../../yofc/04-JEFFERIES-20260722-CASE.md；原财务百万元除100，转人民币亿元；保留2026-07-22信息集及报告净利润口径。</xltc:text>
  </xltc:threadedComment>
  <xltc:threadedComment ref="D17" dT="2026-09-05T05:08:35.293" personId="{832FA303-8B3D-4917-BDA6-240AD035250F}" id="{E3DBC48F-6DAD-47B4-B315-9D07666ECFCE}">
    <xltc:text>B1 ../../yofc/04-JEFFERIES-20260722-CASE.md；原财务百万元除100，转人民币亿元；保留2026-07-22信息集及报告净利润口径。</xltc:text>
  </xltc:threadedComment>
  <xltc:threadedComment ref="E17" dT="2026-09-05T05:08:35.293" personId="{832FA303-8B3D-4917-BDA6-240AD035250F}" id="{3B040208-115A-461D-89EB-6B5C0437C3DE}">
    <xltc:text>B1 ../../yofc/04-JEFFERIES-20260722-CASE.md；原财务百万元除100，转人民币亿元；保留2026-07-22信息集及报告净利润口径。</xltc:text>
  </xltc:threadedComment>
  <xltc:threadedComment ref="F17" dT="2026-09-05T05:08:35.293" personId="{832FA303-8B3D-4917-BDA6-240AD035250F}" id="{437EF01D-7442-4522-A6E8-35E541A253FF}">
    <xltc:text>B1 ../../yofc/04-JEFFERIES-20260722-CASE.md；原财务百万元除100，转人民币亿元；保留2026-07-22信息集及报告净利润口径。</xltc:text>
  </xltc:threadedComment>
  <xltc:threadedComment ref="C18" dT="2026-09-05T05:08:35.293" personId="{832FA303-8B3D-4917-BDA6-240AD035250F}" id="{48F98046-A8E1-4B9F-8684-3B520C5CD292}">
    <xltc:text>B2 ../../yofc/06-GOLDMAN-20260828-CASE.md；原财务百万元除100，转人民币亿元；保留2026-08-28信息集及报告净利润口径。</xltc:text>
  </xltc:threadedComment>
  <xltc:threadedComment ref="D18" dT="2026-09-05T05:08:35.293" personId="{832FA303-8B3D-4917-BDA6-240AD035250F}" id="{51CF84BD-E0B5-4262-9C91-3FE6D1D0CCC0}">
    <xltc:text>B2 ../../yofc/06-GOLDMAN-20260828-CASE.md；原财务百万元除100，转人民币亿元；保留2026-08-28信息集及报告净利润口径。</xltc:text>
  </xltc:threadedComment>
  <xltc:threadedComment ref="E18" dT="2026-09-05T05:08:35.293" personId="{832FA303-8B3D-4917-BDA6-240AD035250F}" id="{6C8F3AD1-A915-41A4-B483-D3E63EF8CD35}">
    <xltc:text>B2 ../../yofc/06-GOLDMAN-20260828-CASE.md；原财务百万元除100，转人民币亿元；保留2026-08-28信息集及报告净利润口径。</xltc:text>
  </xltc:threadedComment>
  <xltc:threadedComment ref="F18" dT="2026-09-05T05:08:35.293" personId="{832FA303-8B3D-4917-BDA6-240AD035250F}" id="{5B9D9586-3128-4584-AADC-809B678DBC30}">
    <xltc:text>B2 ../../yofc/06-GOLDMAN-20260828-CASE.md；原财务百万元除100，转人民币亿元；保留2026-08-28信息集及报告净利润口径。</xltc:text>
  </xltc:threadedComment>
  <xltc:threadedComment ref="C19" dT="2026-09-05T05:08:35.293" personId="{832FA303-8B3D-4917-BDA6-240AD035250F}" id="{9B85EA94-B9BB-4AA4-A415-26DA5F656DAC}">
    <xltc:text>B3 ../../yofc/07-NOMURA-20260821-CASE.md；原财务百万元除100，转人民币亿元；保留2026-08-21信息集及未披露完整年度表口径。</xltc:text>
  </xltc:threadedComment>
  <xltc:threadedComment ref="D19" dT="2026-09-05T05:08:35.293" personId="{832FA303-8B3D-4917-BDA6-240AD035250F}" id="{538A88FF-FCA9-4687-92F9-E73C0C6D6B75}">
    <xltc:text>B3 ../../yofc/07-NOMURA-20260821-CASE.md；原财务百万元除100，转人民币亿元；保留2026-08-21信息集及未披露完整年度表口径。</xltc:text>
  </xltc:threadedComment>
  <xltc:threadedComment ref="E19" dT="2026-09-05T05:08:35.293" personId="{832FA303-8B3D-4917-BDA6-240AD035250F}" id="{2949EDBE-D2E6-4C65-BC16-7E89084B91E3}">
    <xltc:text>B3 ../../yofc/07-NOMURA-20260821-CASE.md；原财务百万元除100，转人民币亿元；保留2026-08-21信息集及未披露完整年度表口径。</xltc:text>
  </xltc:threadedComment>
  <xltc:threadedComment ref="F19" dT="2026-09-05T05:08:35.293" personId="{832FA303-8B3D-4917-BDA6-240AD035250F}" id="{615EF8FB-8A50-419B-958D-CB1C1A47DF9A}">
    <xltc:text>B3 ../../yofc/07-NOMURA-20260821-CASE.md；原财务百万元除100，转人民币亿元；保留2026-08-21信息集及未披露完整年度表口径。</xltc:text>
  </xltc:threadedComment>
  <xltc:threadedComment ref="C20" dT="2026-09-05T05:08:35.294" personId="{832FA303-8B3D-4917-BDA6-240AD035250F}" id="{3EB72480-55CC-444B-AE8E-C9E0746ED5ED}">
    <xltc:text>B4 ../../yofc/08-MORGAN-STANLEY-20260823-CASE.md；原财务百万元除100，转人民币亿元；保留2026-08-23信息集及ModelWare净利润口径。</xltc:text>
  </xltc:threadedComment>
  <xltc:threadedComment ref="D20" dT="2026-09-05T05:08:35.294" personId="{832FA303-8B3D-4917-BDA6-240AD035250F}" id="{0C339FF8-DDCD-4E9F-9F3A-15B8C3736608}">
    <xltc:text>B4 ../../yofc/08-MORGAN-STANLEY-20260823-CASE.md；原财务百万元除100，转人民币亿元；保留2026-08-23信息集及ModelWare净利润口径。</xltc:text>
  </xltc:threadedComment>
  <xltc:threadedComment ref="E20" dT="2026-09-05T05:08:35.294" personId="{832FA303-8B3D-4917-BDA6-240AD035250F}" id="{B1AC6EAC-C3D6-45F0-BB4B-D6577610E647}">
    <xltc:text>B4 ../../yofc/08-MORGAN-STANLEY-20260823-CASE.md；原财务百万元除100，转人民币亿元；保留2026-08-23信息集及ModelWare净利润口径。</xltc:text>
  </xltc:threadedComment>
  <xltc:threadedComment ref="F20" dT="2026-09-05T05:08:35.294" personId="{832FA303-8B3D-4917-BDA6-240AD035250F}" id="{A7379264-9AFD-4145-A8BC-DDCEDE3D03F5}">
    <xltc:text>B4 ../../yofc/08-MORGAN-STANLEY-20260823-CASE.md；原财务百万元除100，转人民币亿元；保留2026-08-23信息集及ModelWare净利润口径。</xltc:text>
  </xltc:threadedComment>
  <xltc:threadedComment ref="C21" dT="2026-09-05T05:08:35.294" personId="{832FA303-8B3D-4917-BDA6-240AD035250F}" id="{E42AC9B2-5F02-4E30-9530-3683CC333CFA}">
    <xltc:text>B5 ../../ztt/01-MORGAN-STANLEY-20260714-CASE.md；原财务百万元除100，转人民币亿元；保留2026-07-14信息集及ModelWare净利润口径。</xltc:text>
  </xltc:threadedComment>
  <xltc:threadedComment ref="D21" dT="2026-09-05T05:08:35.294" personId="{832FA303-8B3D-4917-BDA6-240AD035250F}" id="{9B99E731-FE6B-4831-A0CE-F31579A8C8FB}">
    <xltc:text>B5 ../../ztt/01-MORGAN-STANLEY-20260714-CASE.md；原财务百万元除100，转人民币亿元；保留2026-07-14信息集及ModelWare净利润口径。</xltc:text>
  </xltc:threadedComment>
  <xltc:threadedComment ref="E21" dT="2026-09-05T05:08:35.294" personId="{832FA303-8B3D-4917-BDA6-240AD035250F}" id="{4F8B874A-07DF-4920-87F3-F9B922EBFA23}">
    <xltc:text>B5 ../../ztt/01-MORGAN-STANLEY-20260714-CASE.md；原财务百万元除100，转人民币亿元；保留2026-07-14信息集及ModelWare净利润口径。</xltc:text>
  </xltc:threadedComment>
  <xltc:threadedComment ref="F21" dT="2026-09-05T05:08:35.294" personId="{832FA303-8B3D-4917-BDA6-240AD035250F}" id="{9637B60D-8579-40A6-87C0-72B5CF913E82}">
    <xltc:text>B5 ../../ztt/01-MORGAN-STANLEY-20260714-CASE.md；原财务百万元除100，转人民币亿元；保留2026-07-14信息集及ModelWare净利润口径。</xltc:text>
  </xltc:threadedComment>
  <xltc:threadedComment ref="C22" dT="2026-09-05T05:08:35.294" personId="{832FA303-8B3D-4917-BDA6-240AD035250F}" id="{4886A23F-0487-435B-B36B-23AB911E2143}">
    <xltc:text>B6 ../../ztt/04-BOFA-20260828-CASE.md；原财务百万元除100，转人民币亿元；保留2026-08-28信息集及调整后净利润口径。</xltc:text>
  </xltc:threadedComment>
  <xltc:threadedComment ref="D22" dT="2026-09-05T05:08:35.294" personId="{832FA303-8B3D-4917-BDA6-240AD035250F}" id="{15B743FF-F6A3-43E8-B00E-80AA0959E92E}">
    <xltc:text>B6 ../../ztt/04-BOFA-20260828-CASE.md；原财务百万元除100，转人民币亿元；保留2026-08-28信息集及调整后净利润口径。</xltc:text>
  </xltc:threadedComment>
  <xltc:threadedComment ref="E22" dT="2026-09-05T05:08:35.294" personId="{832FA303-8B3D-4917-BDA6-240AD035250F}" id="{3D1640EB-70C8-45B1-A12D-C0C3DD54C5F1}">
    <xltc:text>B6 ../../ztt/04-BOFA-20260828-CASE.md；原财务百万元除100，转人民币亿元；保留2026-08-28信息集及调整后净利润口径。</xltc:text>
  </xltc:threadedComment>
  <xltc:threadedComment ref="F22" dT="2026-09-05T05:08:35.294" personId="{832FA303-8B3D-4917-BDA6-240AD035250F}" id="{94C55471-A76B-4611-838E-B87E59ACCEA6}">
    <xltc:text>B6 ../../ztt/04-BOFA-20260828-CASE.md；原财务百万元除100，转人民币亿元；保留2026-08-28信息集及调整后净利润口径。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2f84fa8f4d04995" /><Relationship Type="http://schemas.openxmlformats.org/officeDocument/2006/relationships/vmlDrawing" Target="/xl/drawings/vmldrawing.vml" Id="R701f07a5e123436e" /><Relationship Type="http://schemas.microsoft.com/office/2017/10/relationships/threadedComment" Target="/xl/threadedcomments/threadedcomment.xml" Id="R987cd70294da4d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39146cc3f1d48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42d306265d9d4780" /><Relationship Type="http://schemas.openxmlformats.org/officeDocument/2006/relationships/vmlDrawing" Target="/xl/drawings/vmldrawing2.vml" Id="Rc38e4f9b1e0a4fb9" /><Relationship Type="http://schemas.microsoft.com/office/2017/10/relationships/threadedComment" Target="/xl/threadedcomments/threadedcomment2.xml" Id="R571d257dc4a141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d9d1bb428dbf4ba2" /><Relationship Type="http://schemas.openxmlformats.org/officeDocument/2006/relationships/vmlDrawing" Target="/xl/drawings/vmldrawing3.vml" Id="R39fa888432564af3" /><Relationship Type="http://schemas.microsoft.com/office/2017/10/relationships/threadedComment" Target="/xl/threadedcomments/threadedcomment3.xml" Id="Rf20691edb4144dde" /><Relationship Type="http://schemas.openxmlformats.org/officeDocument/2006/relationships/drawing" Target="/xl/drawings/drawing2.xml" Id="Ra7bab7cea21c4d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ace51b9e0124453c" /><Relationship Type="http://schemas.openxmlformats.org/officeDocument/2006/relationships/vmlDrawing" Target="/xl/drawings/vmldrawing4.vml" Id="Rdcedba6ba92641bc" /><Relationship Type="http://schemas.microsoft.com/office/2017/10/relationships/threadedComment" Target="/xl/threadedcomments/threadedcomment4.xml" Id="R357c209474214f22" /></Relationships>
</file>

<file path=xl/worksheets/sheet1.xml><?xml version="1.0" encoding="utf-8"?>
<x:worksheet xmlns:x="http://schemas.openxmlformats.org/spreadsheetml/2006/main">
  <x:sheetPr>
    <x:tabColor rgb="FF285F8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7" hidden="0" customWidth="1"/>
  </x:cols>
  <x:sheetData>
    <x:row r="1" ht="24" customHeight="1">
      <x:c r="A1" s="3" t="str">
        <x:v>七家公司财务比较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5" t="str">
        <x:v>W3：收入与反推法 EBITDA；L3：H1冻结比例。反推法尚未正常化，不等于经常性经营利润。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6" t="str">
        <x:v>研究 2026-09-05 | 估值 2026-09-02 | 金额人民币亿元，特别注明除外 | 缺失不填零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2" customHeight="1">
      <x:c r="A6" s="9" t="str">
        <x:v>公司</x:v>
      </x:c>
      <x:c r="B6" s="9" t="str">
        <x:v>代码</x:v>
      </x:c>
      <x:c r="C6" s="9" t="str">
        <x:v>分组</x:v>
      </x:c>
      <x:c r="D6" s="9" t="str">
        <x:v>2025A收入</x:v>
      </x:c>
      <x:c r="E6" s="9" t="str">
        <x:v>2026H1收入</x:v>
      </x:c>
      <x:c r="F6" s="9" t="str">
        <x:v>H1收入同比</x:v>
      </x:c>
      <x:c r="G6" s="9" t="str">
        <x:v>H1反推EBITDA</x:v>
      </x:c>
      <x:c r="H6" s="9" t="str">
        <x:v>H1 EBITDA率</x:v>
      </x:c>
      <x:c r="I6" s="9" t="str">
        <x:v>H1毛利率</x:v>
      </x:c>
      <x:c r="J6" s="9" t="str">
        <x:v>H1现金/净利</x:v>
      </x:c>
      <x:c r="K6" s="9" t="str">
        <x:v>H1资本开支/收入</x:v>
      </x:c>
      <x:c r="L6" s="9" t="str">
        <x:v>来源与性质</x:v>
      </x:c>
    </x:row>
    <x:row r="7" ht="24" customHeight="1">
      <x:c r="A7" s="2" t="str">
        <x:v>长飞光纤</x:v>
      </x:c>
      <x:c r="B7" s="2" t="str">
        <x:v>601869.SH</x:v>
      </x:c>
      <x:c r="C7" s="2" t="str">
        <x:v>长飞</x:v>
      </x:c>
      <x:c r="D7" s="13" t="n">
        <x:v>142.521</x:v>
      </x:c>
      <x:c r="E7" s="13" t="n">
        <x:v>98.0896</x:v>
      </x:c>
      <x:c r="F7" s="15" t="n">
        <x:v>0.536</x:v>
      </x:c>
      <x:c r="G7" s="13" t="n">
        <x:v>44.7513</x:v>
      </x:c>
      <x:c r="H7" s="17" t="n">
        <x:f>G7/E7</x:f>
        <x:v>0.45622879489772616</x:v>
      </x:c>
      <x:c r="I7" s="15" t="n">
        <x:v>0.534</x:v>
      </x:c>
      <x:c r="J7" s="15" t="n">
        <x:v>0.624</x:v>
      </x:c>
      <x:c r="K7" s="15" t="n">
        <x:v>0.068</x:v>
      </x:c>
      <x:c r="L7" s="2" t="str">
        <x:v>W3 / L3</x:v>
      </x:c>
    </x:row>
    <x:row r="8" ht="24" customHeight="1">
      <x:c r="A8" s="11" t="str">
        <x:v>中天科技</x:v>
      </x:c>
      <x:c r="B8" s="11" t="str">
        <x:v>600522.SH</x:v>
      </x:c>
      <x:c r="C8" s="11" t="str">
        <x:v>核心</x:v>
      </x:c>
      <x:c r="D8" s="14" t="n">
        <x:v>524.9986</x:v>
      </x:c>
      <x:c r="E8" s="14" t="n">
        <x:v>309.3896</x:v>
      </x:c>
      <x:c r="F8" s="16" t="n">
        <x:v>0.311</x:v>
      </x:c>
      <x:c r="G8" s="14" t="n">
        <x:v>35.608</x:v>
      </x:c>
      <x:c r="H8" s="18" t="n">
        <x:f>G8/E8</x:f>
        <x:v>0.11509113428505677</x:v>
      </x:c>
      <x:c r="I8" s="16" t="n">
        <x:v>0.165</x:v>
      </x:c>
      <x:c r="J8" s="16" t="n">
        <x:v>0.062</x:v>
      </x:c>
      <x:c r="K8" s="16" t="n">
        <x:v>0.03</x:v>
      </x:c>
      <x:c r="L8" s="11" t="str">
        <x:v>W3 / L3</x:v>
      </x:c>
    </x:row>
    <x:row r="9" ht="24" customHeight="1">
      <x:c r="A9" s="2" t="str">
        <x:v>亨通光电</x:v>
      </x:c>
      <x:c r="B9" s="2" t="str">
        <x:v>600487.SH</x:v>
      </x:c>
      <x:c r="C9" s="2" t="str">
        <x:v>核心</x:v>
      </x:c>
      <x:c r="D9" s="13" t="n">
        <x:v>668.5485</x:v>
      </x:c>
      <x:c r="E9" s="13" t="n">
        <x:v>420.259</x:v>
      </x:c>
      <x:c r="F9" s="15" t="n">
        <x:v>0.311</x:v>
      </x:c>
      <x:c r="G9" s="13" t="n">
        <x:v>44.981</x:v>
      </x:c>
      <x:c r="H9" s="17" t="n">
        <x:f>G9/E9</x:f>
        <x:v>0.10703161621761818</x:v>
      </x:c>
      <x:c r="I9" s="15" t="n">
        <x:v>0.168</x:v>
      </x:c>
      <x:c r="J9" s="15" t="n">
        <x:v>-0.27699999999999997</x:v>
      </x:c>
      <x:c r="K9" s="15" t="n">
        <x:v>0.047</x:v>
      </x:c>
      <x:c r="L9" s="2" t="str">
        <x:v>W3 / L3</x:v>
      </x:c>
    </x:row>
    <x:row r="10" ht="24" customHeight="1">
      <x:c r="A10" s="11" t="str">
        <x:v>烽火通信</x:v>
      </x:c>
      <x:c r="B10" s="11" t="str">
        <x:v>600498.SH</x:v>
      </x:c>
      <x:c r="C10" s="11" t="str">
        <x:v>核心</x:v>
      </x:c>
      <x:c r="D10" s="14" t="n">
        <x:v>249.1855</x:v>
      </x:c>
      <x:c r="E10" s="14" t="n">
        <x:v>123.7636</x:v>
      </x:c>
      <x:c r="F10" s="16" t="n">
        <x:v>0.113</x:v>
      </x:c>
      <x:c r="G10" s="14" t="n">
        <x:v>9.9332</x:v>
      </x:c>
      <x:c r="H10" s="18" t="n">
        <x:f>G10/E10</x:f>
        <x:v>0.08025946239443583</x:v>
      </x:c>
      <x:c r="I10" s="16" t="n">
        <x:v>0.214</x:v>
      </x:c>
      <x:c r="J10" s="16" t="n">
        <x:v>2.641</x:v>
      </x:c>
      <x:c r="K10" s="16" t="n">
        <x:v>0.052000000000000005</x:v>
      </x:c>
      <x:c r="L10" s="11" t="str">
        <x:v>W3 / L3</x:v>
      </x:c>
    </x:row>
    <x:row r="11" ht="24" customHeight="1">
      <x:c r="A11" s="2" t="str">
        <x:v>中际旭创</x:v>
      </x:c>
      <x:c r="B11" s="2" t="str">
        <x:v>300308.SZ</x:v>
      </x:c>
      <x:c r="C11" s="2" t="str">
        <x:v>AI映射</x:v>
      </x:c>
      <x:c r="D11" s="13" t="n">
        <x:v>382.3994</x:v>
      </x:c>
      <x:c r="E11" s="13" t="n">
        <x:v>417.7786</x:v>
      </x:c>
      <x:c r="F11" s="15" t="n">
        <x:v>1.825</x:v>
      </x:c>
      <x:c r="G11" s="13" t="n">
        <x:v>177.0951</x:v>
      </x:c>
      <x:c r="H11" s="17" t="n">
        <x:f>G11/E11</x:f>
        <x:v>0.42389701147928593</x:v>
      </x:c>
      <x:c r="I11" s="15" t="n">
        <x:v>0.46299999999999997</x:v>
      </x:c>
      <x:c r="J11" s="15" t="n">
        <x:v>0.132</x:v>
      </x:c>
      <x:c r="K11" s="15" t="n">
        <x:v>0.115</x:v>
      </x:c>
      <x:c r="L11" s="2" t="str">
        <x:v>W3 / L3</x:v>
      </x:c>
    </x:row>
    <x:row r="12" ht="24" customHeight="1">
      <x:c r="A12" s="11" t="str">
        <x:v>光迅科技</x:v>
      </x:c>
      <x:c r="B12" s="11" t="str">
        <x:v>002281.SZ</x:v>
      </x:c>
      <x:c r="C12" s="11" t="str">
        <x:v>AI映射</x:v>
      </x:c>
      <x:c r="D12" s="14" t="n">
        <x:v>119.287</x:v>
      </x:c>
      <x:c r="E12" s="14" t="n">
        <x:v>66.0967</x:v>
      </x:c>
      <x:c r="F12" s="16" t="n">
        <x:v>0.261</x:v>
      </x:c>
      <x:c r="G12" s="14" t="n">
        <x:v>8.8645</x:v>
      </x:c>
      <x:c r="H12" s="18" t="n">
        <x:f>G12/E12</x:f>
        <x:v>0.1341141085712297</x:v>
      </x:c>
      <x:c r="I12" s="16" t="n">
        <x:v>0.255</x:v>
      </x:c>
      <x:c r="J12" s="16" t="n">
        <x:v>-2.123</x:v>
      </x:c>
      <x:c r="K12" s="16" t="n">
        <x:v>0.091</x:v>
      </x:c>
      <x:c r="L12" s="11" t="str">
        <x:v>W3 / L3</x:v>
      </x:c>
    </x:row>
    <x:row r="13" ht="24" customHeight="1">
      <x:c r="A13" s="2" t="str">
        <x:v>天孚通信</x:v>
      </x:c>
      <x:c r="B13" s="2" t="str">
        <x:v>300394.SZ</x:v>
      </x:c>
      <x:c r="C13" s="2" t="str">
        <x:v>AI映射</x:v>
      </x:c>
      <x:c r="D13" s="13" t="n">
        <x:v>51.6343</x:v>
      </x:c>
      <x:c r="E13" s="13" t="n">
        <x:v>28.2794</x:v>
      </x:c>
      <x:c r="F13" s="15" t="n">
        <x:v>0.151</x:v>
      </x:c>
      <x:c r="G13" s="13" t="n">
        <x:v>14.3095</x:v>
      </x:c>
      <x:c r="H13" s="17" t="n">
        <x:f>G13/E13</x:f>
        <x:v>0.5060043706726451</x:v>
      </x:c>
      <x:c r="I13" s="15" t="n">
        <x:v>0.609</x:v>
      </x:c>
      <x:c r="J13" s="15" t="n">
        <x:v>0.831</x:v>
      </x:c>
      <x:c r="K13" s="15" t="n">
        <x:v>0.109</x:v>
      </x:c>
      <x:c r="L13" s="2" t="str">
        <x:v>W3 / L3</x:v>
      </x:c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42" customHeight="1">
      <x:c r="A17" s="9" t="str">
        <x:v>公司</x:v>
      </x:c>
      <x:c r="B17" s="9" t="str">
        <x:v>H1归母净利</x:v>
      </x:c>
      <x:c r="C17" s="9" t="str">
        <x:v>H1经营现金流</x:v>
      </x:c>
      <x:c r="D17" s="9" t="str">
        <x:v>H1资本开支</x:v>
      </x:c>
      <x:c r="E17" s="9" t="str">
        <x:v>现金流减资本开支</x:v>
      </x:c>
      <x:c r="F17" s="9" t="str">
        <x:v>现金/净利</x:v>
      </x:c>
      <x:c r="G17" s="2"/>
      <x:c r="H17" s="2"/>
      <x:c r="I17" s="2"/>
      <x:c r="J17" s="2"/>
      <x:c r="K17" s="2"/>
      <x:c r="L17" s="2"/>
    </x:row>
    <x:row r="18" ht="24" customHeight="1">
      <x:c r="A18" s="2" t="str">
        <x:v>长飞</x:v>
      </x:c>
      <x:c r="B18" s="13" t="n">
        <x:v>29.25</x:v>
      </x:c>
      <x:c r="C18" s="13" t="n">
        <x:v>18.26</x:v>
      </x:c>
      <x:c r="D18" s="13" t="n">
        <x:v>6.71</x:v>
      </x:c>
      <x:c r="E18" s="19" t="n">
        <x:f>C18-D18</x:f>
        <x:v>11.55</x:v>
      </x:c>
      <x:c r="F18" s="17" t="n">
        <x:f>C18/B18</x:f>
        <x:v>0.6242735042735044</x:v>
      </x:c>
      <x:c r="G18" s="2"/>
      <x:c r="H18" s="2"/>
      <x:c r="I18" s="2"/>
      <x:c r="J18" s="2"/>
      <x:c r="K18" s="2"/>
      <x:c r="L18" s="2"/>
    </x:row>
    <x:row r="19" ht="24" customHeight="1">
      <x:c r="A19" s="2" t="str">
        <x:v>中天</x:v>
      </x:c>
      <x:c r="B19" s="13" t="n">
        <x:v>23.87</x:v>
      </x:c>
      <x:c r="C19" s="13" t="n">
        <x:v>1.48</x:v>
      </x:c>
      <x:c r="D19" s="13" t="n">
        <x:v>9.43</x:v>
      </x:c>
      <x:c r="E19" s="19" t="n">
        <x:f>C19-D19</x:f>
        <x:v>-7.949999999999999</x:v>
      </x:c>
      <x:c r="F19" s="17" t="n">
        <x:f>C19/B19</x:f>
        <x:v>0.06200251361541684</x:v>
      </x:c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0" t="str">
        <x:v>L1 / L4 公司财报底稿；现金流减资本开支仅为简单现金余额，不是标准 FCFF。两公司资本开支为现金购建长期资产口径。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42" customHeight="1">
      <x:c r="A25" s="9" t="str">
        <x:v>公司</x:v>
      </x:c>
      <x:c r="B25" s="9" t="str">
        <x:v>光通信/光网络</x:v>
      </x:c>
      <x:c r="C25" s="9" t="str">
        <x:v>组件/电网</x:v>
      </x:c>
      <x:c r="D25" s="9" t="str">
        <x:v>其他业务</x:v>
      </x:c>
      <x:c r="E25" s="9" t="str">
        <x:v>集团收入</x:v>
      </x:c>
      <x:c r="F25" s="9" t="str">
        <x:v>期间与来源</x:v>
      </x:c>
      <x:c r="G25" s="2"/>
      <x:c r="H25" s="2"/>
      <x:c r="I25" s="2"/>
      <x:c r="J25" s="2"/>
      <x:c r="K25" s="2"/>
      <x:c r="L25" s="2"/>
    </x:row>
    <x:row r="26" ht="24" customHeight="1">
      <x:c r="A26" s="2" t="str">
        <x:v>长飞</x:v>
      </x:c>
      <x:c r="B26" s="13" t="n">
        <x:v>61.25485258</x:v>
      </x:c>
      <x:c r="C26" s="13" t="n">
        <x:v>22.38455552</x:v>
      </x:c>
      <x:c r="D26" s="19" t="n">
        <x:f>E26-SUM(B26:C26)</x:f>
        <x:v>14.450191900000007</x:v>
      </x:c>
      <x:c r="E26" s="13" t="n">
        <x:v>98.0896</x:v>
      </x:c>
      <x:c r="F26" s="2" t="str">
        <x:v>2026H1 L1/L2</x:v>
      </x:c>
      <x:c r="G26" s="2"/>
      <x:c r="H26" s="2"/>
      <x:c r="I26" s="2"/>
      <x:c r="J26" s="2"/>
      <x:c r="K26" s="2"/>
      <x:c r="L26" s="2"/>
    </x:row>
    <x:row r="27" ht="24" customHeight="1">
      <x:c r="A27" s="2" t="str">
        <x:v>中天</x:v>
      </x:c>
      <x:c r="B27" s="13" t="n">
        <x:v>73.7</x:v>
      </x:c>
      <x:c r="C27" s="13" t="n">
        <x:v>222.64</x:v>
      </x:c>
      <x:c r="D27" s="19" t="n">
        <x:f>E27-SUM(B27:C27)</x:f>
        <x:v>228.65860000000004</x:v>
      </x:c>
      <x:c r="E27" s="13" t="n">
        <x:v>524.9986</x:v>
      </x:c>
      <x:c r="F27" s="2" t="str">
        <x:v>2025A L4</x:v>
      </x:c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0" t="str">
        <x:v>业务构成期间不同，只用于观察各自构成。全部七家公司同分母市场份额为 MISSING；不得将集团收入当作光纤收入。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4" ht="42" customHeight="1">
      <x:c r="A34" s="44" t="str">
        <x:v>公司</x:v>
      </x:c>
      <x:c r="B34" s="44" t="str">
        <x:v>2026E收入</x:v>
      </x:c>
      <x:c r="C34" s="44" t="str">
        <x:v>2026E归母净利</x:v>
      </x:c>
      <x:c r="D34" s="44" t="str">
        <x:v>冻结市值</x:v>
      </x:c>
      <x:c r="E34" s="44" t="str">
        <x:v>复算2026E P/E</x:v>
      </x:c>
      <x:c r="F34" s="44" t="str">
        <x:v>原底稿P/E</x:v>
      </x:c>
      <x:c r="G34" s="44" t="str">
        <x:v>舍入差</x:v>
      </x:c>
      <x:c r="H34" s="44" t="str">
        <x:v>2026E收入增速</x:v>
      </x:c>
      <x:c r="I34" s="44" t="str">
        <x:v>来源</x:v>
      </x:c>
      <x:c r="J34" s="41"/>
      <x:c r="K34" s="41"/>
      <x:c r="L34" s="41"/>
    </x:row>
    <x:row r="35" ht="24" customHeight="1">
      <x:c r="A35" s="41" t="str">
        <x:v>长飞光纤</x:v>
      </x:c>
      <x:c r="B35" s="46" t="n">
        <x:v>247.5174</x:v>
      </x:c>
      <x:c r="C35" s="46" t="n">
        <x:v>66.0945</x:v>
      </x:c>
      <x:c r="D35" s="46" t="n">
        <x:v>2274.7522</x:v>
      </x:c>
      <x:c r="E35" s="47" t="n">
        <x:f>D35/C35</x:f>
        <x:v>34.416664018942576</x:v>
      </x:c>
      <x:c r="F35" s="46" t="n">
        <x:v>34.4</x:v>
      </x:c>
      <x:c r="G35" s="47" t="n">
        <x:f>E35-F35</x:f>
        <x:v>0.01666401894257774</x:v>
      </x:c>
      <x:c r="H35" s="48" t="n">
        <x:f>B35/D7-1</x:f>
        <x:v>0.7367082745700635</x:v>
      </x:c>
      <x:c r="I35" s="41" t="str">
        <x:v>L3 PARTIAL</x:v>
      </x:c>
      <x:c r="J35" s="41"/>
      <x:c r="K35" s="41"/>
      <x:c r="L35" s="41"/>
    </x:row>
    <x:row r="36" ht="24" customHeight="1">
      <x:c r="A36" s="49" t="str">
        <x:v>中天科技</x:v>
      </x:c>
      <x:c r="B36" s="50" t="n">
        <x:v>643.26</x:v>
      </x:c>
      <x:c r="C36" s="50" t="n">
        <x:v>63.55</x:v>
      </x:c>
      <x:c r="D36" s="50" t="n">
        <x:v>1148.12</x:v>
      </x:c>
      <x:c r="E36" s="51" t="n">
        <x:f>D36/C36</x:f>
        <x:v>18.066404405979544</x:v>
      </x:c>
      <x:c r="F36" s="50" t="n">
        <x:v>18.1</x:v>
      </x:c>
      <x:c r="G36" s="51" t="n">
        <x:f>E36-F36</x:f>
        <x:v>-0.03359559402045775</x:v>
      </x:c>
      <x:c r="H36" s="52" t="n">
        <x:f>B36/D8-1</x:f>
        <x:v>0.22526041021823673</x:v>
      </x:c>
      <x:c r="I36" s="49" t="str">
        <x:v>L3 PARTIAL</x:v>
      </x:c>
      <x:c r="J36" s="41"/>
      <x:c r="K36" s="41"/>
      <x:c r="L36" s="41"/>
    </x:row>
    <x:row r="37" ht="24" customHeight="1">
      <x:c r="A37" s="41" t="str">
        <x:v>亨通光电</x:v>
      </x:c>
      <x:c r="B37" s="46" t="n">
        <x:v>837.49</x:v>
      </x:c>
      <x:c r="C37" s="46" t="n">
        <x:v>77.35</x:v>
      </x:c>
      <x:c r="D37" s="46" t="n">
        <x:v>1650.02</x:v>
      </x:c>
      <x:c r="E37" s="47" t="n">
        <x:f>D37/C37</x:f>
        <x:v>21.331868131868134</x:v>
      </x:c>
      <x:c r="F37" s="46" t="n">
        <x:v>21.3</x:v>
      </x:c>
      <x:c r="G37" s="47" t="n">
        <x:f>E37-F37</x:f>
        <x:v>0.03186813186813353</x:v>
      </x:c>
      <x:c r="H37" s="48" t="n">
        <x:f>B37/D9-1</x:f>
        <x:v>0.25269894405566684</x:v>
      </x:c>
      <x:c r="I37" s="41" t="str">
        <x:v>L3 PARTIAL</x:v>
      </x:c>
      <x:c r="J37" s="41"/>
      <x:c r="K37" s="41"/>
      <x:c r="L37" s="41"/>
    </x:row>
    <x:row r="38" ht="24" customHeight="1">
      <x:c r="A38" s="49" t="str">
        <x:v>烽火通信</x:v>
      </x:c>
      <x:c r="B38" s="50" t="n">
        <x:v>287.26</x:v>
      </x:c>
      <x:c r="C38" s="50" t="n">
        <x:v>14.56</x:v>
      </x:c>
      <x:c r="D38" s="50" t="n">
        <x:v>544.9</x:v>
      </x:c>
      <x:c r="E38" s="51" t="n">
        <x:f>D38/C38</x:f>
        <x:v>37.42445054945055</x:v>
      </x:c>
      <x:c r="F38" s="50" t="n">
        <x:v>37.4</x:v>
      </x:c>
      <x:c r="G38" s="51" t="n">
        <x:f>E38-F38</x:f>
        <x:v>0.02445054945054892</x:v>
      </x:c>
      <x:c r="H38" s="52" t="n">
        <x:f>B38/D10-1</x:f>
        <x:v>0.15279580874489085</x:v>
      </x:c>
      <x:c r="I38" s="49" t="str">
        <x:v>L3 PARTIAL</x:v>
      </x:c>
      <x:c r="J38" s="41"/>
      <x:c r="K38" s="41"/>
      <x:c r="L38" s="41"/>
    </x:row>
    <x:row r="39" ht="24" customHeight="1">
      <x:c r="A39" s="41" t="str">
        <x:v>中际旭创</x:v>
      </x:c>
      <x:c r="B39" s="46" t="n">
        <x:v>989.48</x:v>
      </x:c>
      <x:c r="C39" s="46" t="n">
        <x:v>318.56</x:v>
      </x:c>
      <x:c r="D39" s="46" t="n">
        <x:v>9687.13</x:v>
      </x:c>
      <x:c r="E39" s="47" t="n">
        <x:f>D39/C39</x:f>
        <x:v>30.40912230035158</x:v>
      </x:c>
      <x:c r="F39" s="46" t="n">
        <x:v>30.4</x:v>
      </x:c>
      <x:c r="G39" s="47" t="n">
        <x:f>E39-F39</x:f>
        <x:v>0.009122300351581458</x:v>
      </x:c>
      <x:c r="H39" s="48" t="n">
        <x:f>B39/D11-1</x:f>
        <x:v>1.5875563612286</x:v>
      </x:c>
      <x:c r="I39" s="41" t="str">
        <x:v>L3 PARTIAL</x:v>
      </x:c>
      <x:c r="J39" s="41"/>
      <x:c r="K39" s="41"/>
      <x:c r="L39" s="41"/>
    </x:row>
    <x:row r="40" ht="24" customHeight="1">
      <x:c r="A40" s="49" t="str">
        <x:v>光迅科技</x:v>
      </x:c>
      <x:c r="B40" s="50" t="n">
        <x:v>179.01</x:v>
      </x:c>
      <x:c r="C40" s="50" t="n">
        <x:v>16.61</x:v>
      </x:c>
      <x:c r="D40" s="50" t="n">
        <x:v>1435.82</x:v>
      </x:c>
      <x:c r="E40" s="51" t="n">
        <x:f>D40/C40</x:f>
        <x:v>86.44310656231185</x:v>
      </x:c>
      <x:c r="F40" s="50" t="n">
        <x:v>86.4</x:v>
      </x:c>
      <x:c r="G40" s="51" t="n">
        <x:f>E40-F40</x:f>
        <x:v>0.043106562311848506</x:v>
      </x:c>
      <x:c r="H40" s="52" t="n">
        <x:f>B40/D12-1</x:f>
        <x:v>0.5006664598824682</x:v>
      </x:c>
      <x:c r="I40" s="49" t="str">
        <x:v>L3 PARTIAL</x:v>
      </x:c>
      <x:c r="J40" s="41"/>
      <x:c r="K40" s="41"/>
      <x:c r="L40" s="41"/>
    </x:row>
    <x:row r="41" ht="24" customHeight="1">
      <x:c r="A41" s="41" t="str">
        <x:v>天孚通信</x:v>
      </x:c>
      <x:c r="B41" s="46" t="n">
        <x:v>88.67</x:v>
      </x:c>
      <x:c r="C41" s="46" t="n">
        <x:v>35.3</x:v>
      </x:c>
      <x:c r="D41" s="46" t="n">
        <x:v>2727.06</x:v>
      </x:c>
      <x:c r="E41" s="47" t="n">
        <x:f>D41/C41</x:f>
        <x:v>77.25382436260624</x:v>
      </x:c>
      <x:c r="F41" s="46" t="n">
        <x:v>77.3</x:v>
      </x:c>
      <x:c r="G41" s="47" t="n">
        <x:f>E41-F41</x:f>
        <x:v>-0.04617563739375896</x:v>
      </x:c>
      <x:c r="H41" s="48" t="n">
        <x:f>B41/D13-1</x:f>
        <x:v>0.7172693345315031</x:v>
      </x:c>
      <x:c r="I41" s="41" t="str">
        <x:v>L3 PARTIAL</x:v>
      </x:c>
      <x:c r="J41" s="41"/>
      <x:c r="K41" s="41"/>
      <x:c r="L41" s="41"/>
    </x:row>
    <x:row r="42" ht="24" customHeight="1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</x:row>
    <x:row r="43" ht="24" customHeight="1">
      <x:c r="A43" s="53" t="str">
        <x:v>前瞻收入增速 = 2026E收入/2025A收入 − 1，不是H1同比。复算P/E与原表的微小差异来自原底稿输入与倍数精度；不同日期和来源的预测不平均。</x:v>
      </x:c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</x:row>
    <x:row r="44" ht="24" customHeight="1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</x:row>
    <x:row r="45" ht="24" customHeight="1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</x:row>
  </x:sheetData>
  <x:mergeCells>
    <x:mergeCell ref="A1:L2"/>
    <x:mergeCell ref="A3:L4"/>
    <x:mergeCell ref="A5:L5"/>
    <x:mergeCell ref="A21:L22"/>
    <x:mergeCell ref="A29:L30"/>
    <x:mergeCell ref="A43:L44"/>
  </x:mergeCells>
  <x:pageMargins left="0.7" right="0.7" top="0.75" bottom="0.75" header="0.3" footer="0.3"/>
  <x:legacyDrawing xmlns:r="http://schemas.openxmlformats.org/officeDocument/2006/relationships" r:id="R701f07a5e123436e"/>
</x:worksheet>
</file>

<file path=xl/worksheets/sheet2.xml><?xml version="1.0" encoding="utf-8"?>
<x:worksheet xmlns:x="http://schemas.openxmlformats.org/spreadsheetml/2006/main">
  <x:sheetPr>
    <x:tabColor rgb="FF285F8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0" hidden="0" customWidth="1"/>
    <x:col min="9" max="9" width="20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4" customHeight="1">
      <x:c r="A1" s="3" t="str">
        <x:v>行业需求与供给参照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5" t="str">
        <x:v>中国生产量不是全球需求；未来数字为第三方转引或券商情景。五年 CAGR 基于绝对量，不等于官方可比口径增速。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6" t="str">
        <x:v>研究 2026-09-05 | 估值 2026-09-02 | 金额人民币亿元，特别注明除外 | 缺失不填零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2" customHeight="1">
      <x:c r="A6" s="9" t="str">
        <x:v>年度</x:v>
      </x:c>
      <x:c r="B6" s="9" t="str">
        <x:v>产量 芯千米</x:v>
      </x:c>
      <x:c r="C6" s="9" t="str">
        <x:v>产量 亿芯千米</x:v>
      </x:c>
      <x:c r="D6" s="9" t="str">
        <x:v>官方累计同比</x:v>
      </x:c>
      <x:c r="E6" s="9" t="str">
        <x:v>绝对量同比</x:v>
      </x:c>
      <x:c r="F6" s="9" t="str">
        <x:v>来源</x:v>
      </x:c>
      <x:c r="G6" s="2"/>
      <x:c r="H6" s="9" t="str">
        <x:v>旧预测地区</x:v>
      </x:c>
      <x:c r="I6" s="9" t="str">
        <x:v>亿芯千米</x:v>
      </x:c>
      <x:c r="J6" s="9" t="str">
        <x:v>状态</x:v>
      </x:c>
      <x:c r="K6" s="9" t="str">
        <x:v>版本</x:v>
      </x:c>
      <x:c r="L6" s="9" t="str">
        <x:v>来源</x:v>
      </x:c>
    </x:row>
    <x:row r="7" ht="24" customHeight="1">
      <x:c r="A7" s="2" t="n">
        <x:v>2020</x:v>
      </x:c>
      <x:c r="B7" s="21" t="n">
        <x:v>288777000</x:v>
      </x:c>
      <x:c r="C7" s="22" t="n">
        <x:f>B7/100000000</x:f>
        <x:v>2.88777</x:v>
      </x:c>
      <x:c r="D7" s="15" t="n">
        <x:v>0.063</x:v>
      </x:c>
      <x:c r="E7" s="15"/>
      <x:c r="F7" s="2" t="str">
        <x:v>W1 / W2</x:v>
      </x:c>
      <x:c r="G7" s="2"/>
      <x:c r="H7" s="2" t="str">
        <x:v>北美</x:v>
      </x:c>
      <x:c r="I7" s="23" t="n">
        <x:v>1.49</x:v>
      </x:c>
      <x:c r="J7" s="2" t="str">
        <x:v>预测</x:v>
      </x:c>
      <x:c r="K7" s="2" t="str">
        <x:v>2026-01-06</x:v>
      </x:c>
      <x:c r="L7" s="2" t="str">
        <x:v>W6</x:v>
      </x:c>
    </x:row>
    <x:row r="8" ht="24" customHeight="1">
      <x:c r="A8" s="2" t="n">
        <x:v>2021</x:v>
      </x:c>
      <x:c r="B8" s="21" t="n">
        <x:v>321816000</x:v>
      </x:c>
      <x:c r="C8" s="22" t="n">
        <x:f>B8/100000000</x:f>
        <x:v>3.21816</x:v>
      </x:c>
      <x:c r="D8" s="15" t="n">
        <x:v>0.11599999999999999</x:v>
      </x:c>
      <x:c r="E8" s="17" t="n">
        <x:f>B8/B7-1</x:f>
        <x:v>0.1144100811352704</x:v>
      </x:c>
      <x:c r="F8" s="2" t="str">
        <x:v>W1 / W2</x:v>
      </x:c>
      <x:c r="G8" s="2"/>
      <x:c r="H8" s="2" t="str">
        <x:v>亚洲除中国</x:v>
      </x:c>
      <x:c r="I8" s="23" t="n">
        <x:v>0.71</x:v>
      </x:c>
      <x:c r="J8" s="2" t="str">
        <x:v>预测</x:v>
      </x:c>
      <x:c r="K8" s="2" t="str">
        <x:v>2026-01-06</x:v>
      </x:c>
      <x:c r="L8" s="2" t="str">
        <x:v>W6</x:v>
      </x:c>
    </x:row>
    <x:row r="9" ht="24" customHeight="1">
      <x:c r="A9" s="2" t="n">
        <x:v>2022</x:v>
      </x:c>
      <x:c r="B9" s="21" t="n">
        <x:v>345745000</x:v>
      </x:c>
      <x:c r="C9" s="22" t="n">
        <x:f>B9/100000000</x:f>
        <x:v>3.45745</x:v>
      </x:c>
      <x:c r="D9" s="15" t="n">
        <x:v>0.066</x:v>
      </x:c>
      <x:c r="E9" s="17" t="n">
        <x:f>B9/B8-1</x:f>
        <x:v>0.07435615382703165</x:v>
      </x:c>
      <x:c r="F9" s="2" t="str">
        <x:v>W1 / W2</x:v>
      </x:c>
      <x:c r="G9" s="2"/>
      <x:c r="H9" s="2" t="str">
        <x:v>西欧</x:v>
      </x:c>
      <x:c r="I9" s="23" t="n">
        <x:v>0.53</x:v>
      </x:c>
      <x:c r="J9" s="2" t="str">
        <x:v>预测</x:v>
      </x:c>
      <x:c r="K9" s="2" t="str">
        <x:v>2026-01-06</x:v>
      </x:c>
      <x:c r="L9" s="2" t="str">
        <x:v>W6</x:v>
      </x:c>
    </x:row>
    <x:row r="10" ht="24" customHeight="1">
      <x:c r="A10" s="2" t="n">
        <x:v>2023</x:v>
      </x:c>
      <x:c r="B10" s="21" t="n">
        <x:v>322623000</x:v>
      </x:c>
      <x:c r="C10" s="22" t="n">
        <x:f>B10/100000000</x:f>
        <x:v>3.22623</x:v>
      </x:c>
      <x:c r="D10" s="15" t="n">
        <x:v>-0.067</x:v>
      </x:c>
      <x:c r="E10" s="17" t="n">
        <x:f>B10/B9-1</x:f>
        <x:v>-0.06687587672995998</x:v>
      </x:c>
      <x:c r="F10" s="2" t="str">
        <x:v>W1 / W2</x:v>
      </x:c>
      <x:c r="G10" s="2"/>
      <x:c r="H10" s="2" t="str">
        <x:v>其余含中国</x:v>
      </x:c>
      <x:c r="I10" s="24" t="n">
        <x:f>I11-SUM(I7:I9)</x:f>
        <x:v>3.039999999999999</x:v>
      </x:c>
      <x:c r="J10" s="2" t="str">
        <x:v>派生</x:v>
      </x:c>
      <x:c r="K10" s="2" t="str">
        <x:v>2026-01-06</x:v>
      </x:c>
      <x:c r="L10" s="2" t="str">
        <x:v>W6</x:v>
      </x:c>
    </x:row>
    <x:row r="11" ht="24" customHeight="1">
      <x:c r="A11" s="2" t="n">
        <x:v>2024</x:v>
      </x:c>
      <x:c r="B11" s="21" t="n">
        <x:v>268700000</x:v>
      </x:c>
      <x:c r="C11" s="22" t="n">
        <x:f>B11/100000000</x:f>
        <x:v>2.687</x:v>
      </x:c>
      <x:c r="D11" s="15" t="n">
        <x:v>-0.182</x:v>
      </x:c>
      <x:c r="E11" s="17" t="n">
        <x:f>B11/B10-1</x:f>
        <x:v>-0.16713935460274065</x:v>
      </x:c>
      <x:c r="F11" s="2" t="str">
        <x:v>W1 / W2</x:v>
      </x:c>
      <x:c r="G11" s="2"/>
      <x:c r="H11" s="2" t="str">
        <x:v>全球</x:v>
      </x:c>
      <x:c r="I11" s="23" t="n">
        <x:v>5.77</x:v>
      </x:c>
      <x:c r="J11" s="2" t="str">
        <x:v>预测</x:v>
      </x:c>
      <x:c r="K11" s="2" t="str">
        <x:v>2026-01-06</x:v>
      </x:c>
      <x:c r="L11" s="2" t="str">
        <x:v>W6</x:v>
      </x:c>
    </x:row>
    <x:row r="12" ht="24" customHeight="1">
      <x:c r="A12" s="2" t="n">
        <x:v>2025</x:v>
      </x:c>
      <x:c r="B12" s="21" t="n">
        <x:v>251182000</x:v>
      </x:c>
      <x:c r="C12" s="22" t="n">
        <x:f>B12/100000000</x:f>
        <x:v>2.51182</x:v>
      </x:c>
      <x:c r="D12" s="15" t="n">
        <x:v>-0.053</x:v>
      </x:c>
      <x:c r="E12" s="17" t="n">
        <x:f>B12/B11-1</x:f>
        <x:v>-0.06519538518794199</x:v>
      </x:c>
      <x:c r="F12" s="2" t="str">
        <x:v>W1 / W2</x:v>
      </x:c>
      <x:c r="G12" s="2"/>
      <x:c r="H12" s="2"/>
      <x:c r="I12" s="2"/>
      <x:c r="J12" s="2"/>
      <x:c r="K12" s="2"/>
      <x:c r="L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 t="str">
        <x:v>2020至2025 CAGR</x:v>
      </x:c>
      <x:c r="B14" s="64" t="n">
        <x:f>(B12/B7)^(1/5)-1</x:f>
        <x:v>-0.02750991371846845</x:v>
      </x:c>
      <x:c r="C14" s="2" t="str">
        <x:v>DERIVED</x:v>
      </x:c>
      <x:c r="D14" s="2"/>
      <x:c r="E14" s="2"/>
      <x:c r="F14" s="2"/>
      <x:c r="G14" s="2"/>
      <x:c r="H14" s="20" t="str">
        <x:v>最新本地转引：2026全球需求 &gt;6.70亿芯千米。不能与年初5.77亿混用地区结构；也不是实际同比增速。L2 COMPANY-CITED/PARTIAL</x:v>
      </x:c>
      <x:c r="I14" s="2"/>
      <x:c r="J14" s="2"/>
      <x:c r="K14" s="2"/>
      <x:c r="L14" s="2"/>
    </x:row>
    <x:row r="15" ht="24" customHeight="1">
      <x:c r="A15" s="2" t="str">
        <x:v>2026年1至7月 芯千米</x:v>
      </x:c>
      <x:c r="B15" s="21" t="n">
        <x:v>128184000</x:v>
      </x:c>
      <x:c r="C15" s="2" t="str">
        <x:v>W1</x:v>
      </x:c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 t="str">
        <x:v>2026年1至7月 官方同比</x:v>
      </x:c>
      <x:c r="B16" s="15" t="n">
        <x:v>-0.098</x:v>
      </x:c>
      <x:c r="C16" s="2" t="str">
        <x:v>W2</x:v>
      </x:c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42" customHeight="1">
      <x:c r="A20" s="9" t="str">
        <x:v>预测年度</x:v>
      </x:c>
      <x:c r="B20" s="9" t="str">
        <x:v>数据中心指数</x:v>
      </x:c>
      <x:c r="C20" s="9" t="str">
        <x:v>电信指数</x:v>
      </x:c>
      <x:c r="D20" s="9" t="str">
        <x:v>来源</x:v>
      </x:c>
      <x:c r="E20" s="2"/>
      <x:c r="F20" s="2" t="str">
        <x:v>CAGR输入</x:v>
      </x:c>
      <x:c r="G20" s="2" t="str">
        <x:v>年增长率</x:v>
      </x:c>
      <x:c r="H20" s="2" t="str">
        <x:v>性质</x:v>
      </x:c>
      <x:c r="I20" s="9" t="str">
        <x:v>新增预制棒规划</x:v>
      </x:c>
      <x:c r="J20" s="9" t="str">
        <x:v>吨</x:v>
      </x:c>
      <x:c r="K20" s="9" t="str">
        <x:v>性质</x:v>
      </x:c>
      <x:c r="L20" s="9" t="str">
        <x:v>来源</x:v>
      </x:c>
    </x:row>
    <x:row r="21" ht="24" customHeight="1">
      <x:c r="A21" s="2" t="n">
        <x:v>2025</x:v>
      </x:c>
      <x:c r="B21" s="27" t="n">
        <x:f>100*(1+$G$21)^(A21-2025)</x:f>
        <x:v>100</x:v>
      </x:c>
      <x:c r="C21" s="27" t="n">
        <x:f>100*(1+$G$22)^(A21-2025)</x:f>
        <x:v>100</x:v>
      </x:c>
      <x:c r="D21" s="2" t="str">
        <x:v>指数演示</x:v>
      </x:c>
      <x:c r="E21" s="2"/>
      <x:c r="F21" s="2" t="str">
        <x:v>数据中心</x:v>
      </x:c>
      <x:c r="G21" s="63" t="n">
        <x:v>0.2074</x:v>
      </x:c>
      <x:c r="H21" s="2" t="str">
        <x:v>L2 CRU转引</x:v>
      </x:c>
      <x:c r="I21" s="2" t="str">
        <x:v>中国</x:v>
      </x:c>
      <x:c r="J21" s="21" t="n">
        <x:v>14700</x:v>
      </x:c>
      <x:c r="K21" s="2" t="str">
        <x:v>2026至2028规划</x:v>
      </x:c>
      <x:c r="L21" s="2" t="str">
        <x:v>L5</x:v>
      </x:c>
    </x:row>
    <x:row r="22" ht="24" customHeight="1">
      <x:c r="A22" s="2" t="n">
        <x:v>2026</x:v>
      </x:c>
      <x:c r="B22" s="27" t="n">
        <x:f>100*(1+$G$21)^(A22-2025)</x:f>
        <x:v>120.74000000000001</x:v>
      </x:c>
      <x:c r="C22" s="27" t="n">
        <x:f>100*(1+$G$22)^(A22-2025)</x:f>
        <x:v>102.47</x:v>
      </x:c>
      <x:c r="D22" s="2" t="str">
        <x:v>指数演示</x:v>
      </x:c>
      <x:c r="E22" s="2"/>
      <x:c r="F22" s="2" t="str">
        <x:v>电信</x:v>
      </x:c>
      <x:c r="G22" s="63" t="n">
        <x:v>0.0247</x:v>
      </x:c>
      <x:c r="H22" s="2" t="str">
        <x:v>L2 CRU转引</x:v>
      </x:c>
      <x:c r="I22" s="2" t="str">
        <x:v>日本</x:v>
      </x:c>
      <x:c r="J22" s="21" t="n">
        <x:v>3200</x:v>
      </x:c>
      <x:c r="K22" s="2" t="str">
        <x:v>2026至2028规划</x:v>
      </x:c>
      <x:c r="L22" s="2" t="str">
        <x:v>L5</x:v>
      </x:c>
    </x:row>
    <x:row r="23" ht="24" customHeight="1">
      <x:c r="A23" s="2" t="n">
        <x:v>2027</x:v>
      </x:c>
      <x:c r="B23" s="27" t="n">
        <x:f>100*(1+$G$21)^(A23-2025)</x:f>
        <x:v>145.781476</x:v>
      </x:c>
      <x:c r="C23" s="27" t="n">
        <x:f>100*(1+$G$22)^(A23-2025)</x:f>
        <x:v>105.00100899999998</x:v>
      </x:c>
      <x:c r="D23" s="2" t="str">
        <x:v>指数演示</x:v>
      </x:c>
      <x:c r="E23" s="2"/>
      <x:c r="F23" s="2"/>
      <x:c r="G23" s="2"/>
      <x:c r="H23" s="2"/>
      <x:c r="I23" s="2" t="str">
        <x:v>美国</x:v>
      </x:c>
      <x:c r="J23" s="21" t="n">
        <x:v>1500</x:v>
      </x:c>
      <x:c r="K23" s="2" t="str">
        <x:v>2026至2028规划</x:v>
      </x:c>
      <x:c r="L23" s="2" t="str">
        <x:v>L5</x:v>
      </x:c>
    </x:row>
    <x:row r="24" ht="24" customHeight="1">
      <x:c r="A24" s="2" t="n">
        <x:v>2028</x:v>
      </x:c>
      <x:c r="B24" s="27" t="n">
        <x:f>100*(1+$G$21)^(A24-2025)</x:f>
        <x:v>176.0165541224</x:v>
      </x:c>
      <x:c r="C24" s="27" t="n">
        <x:f>100*(1+$G$22)^(A24-2025)</x:f>
        <x:v>107.59453392229999</x:v>
      </x:c>
      <x:c r="D24" s="2" t="str">
        <x:v>指数演示</x:v>
      </x:c>
      <x:c r="E24" s="2"/>
      <x:c r="F24" s="2" t="str">
        <x:v>杰富瑞DC需求占比</x:v>
      </x:c>
      <x:c r="G24" s="2" t="str">
        <x:v>比例</x:v>
      </x:c>
      <x:c r="H24" s="2" t="str">
        <x:v>性质</x:v>
      </x:c>
      <x:c r="I24" s="2" t="str">
        <x:v>合计</x:v>
      </x:c>
      <x:c r="J24" s="28" t="n">
        <x:f>SUM(J21:J23)</x:f>
        <x:v>19400</x:v>
      </x:c>
      <x:c r="K24" s="2" t="str">
        <x:v>非有效供给</x:v>
      </x:c>
      <x:c r="L24" s="2" t="str">
        <x:v>DERIVED</x:v>
      </x:c>
    </x:row>
    <x:row r="25" ht="24" customHeight="1">
      <x:c r="A25" s="2" t="n">
        <x:v>2029</x:v>
      </x:c>
      <x:c r="B25" s="27" t="n">
        <x:f>100*(1+$G$21)^(A25-2025)</x:f>
        <x:v>212.5223874473858</x:v>
      </x:c>
      <x:c r="C25" s="27" t="n">
        <x:f>100*(1+$G$22)^(A25-2025)</x:f>
        <x:v>110.25211891018078</x:v>
      </x:c>
      <x:c r="D25" s="2" t="str">
        <x:v>指数演示</x:v>
      </x:c>
      <x:c r="E25" s="2"/>
      <x:c r="F25" s="2" t="str">
        <x:v>2026E</x:v>
      </x:c>
      <x:c r="G25" s="15" t="n">
        <x:v>0.43</x:v>
      </x:c>
      <x:c r="H25" s="2" t="str">
        <x:v>L5 单家预测</x:v>
      </x:c>
      <x:c r="I25" s="2"/>
      <x:c r="J25" s="2"/>
      <x:c r="K25" s="2"/>
      <x:c r="L25" s="2"/>
    </x:row>
    <x:row r="26" ht="24" customHeight="1">
      <x:c r="A26" s="2" t="n">
        <x:v>2030</x:v>
      </x:c>
      <x:c r="B26" s="27" t="n">
        <x:f>100*(1+$G$21)^(A26-2025)</x:f>
        <x:v>256.59953060397356</x:v>
      </x:c>
      <x:c r="C26" s="27" t="n">
        <x:f>100*(1+$G$22)^(A26-2025)</x:f>
        <x:v>112.97534624726224</x:v>
      </x:c>
      <x:c r="D26" s="2" t="str">
        <x:v>指数演示</x:v>
      </x:c>
      <x:c r="E26" s="2"/>
      <x:c r="F26" s="2" t="str">
        <x:v>2027E</x:v>
      </x:c>
      <x:c r="G26" s="15" t="n">
        <x:v>0.55</x:v>
      </x:c>
      <x:c r="H26" s="2" t="str">
        <x:v>L5 单家预测</x:v>
      </x:c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0" t="str">
        <x:v>指数图可随 CAGR 输入变化，不构成预测承诺。两类需求没有基期数量，不能加总为总市场。黄色输入为文献预测参数，可编辑；不是公司指引。</x:v>
      </x:c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</x:sheetData>
  <x:mergeCells>
    <x:mergeCell ref="A1:L2"/>
    <x:mergeCell ref="A3:L4"/>
    <x:mergeCell ref="A5:L5"/>
    <x:mergeCell ref="H14:L16"/>
    <x:mergeCell ref="I30:L35"/>
  </x:mergeCells>
  <x:pageMargins left="0.7" right="0.7" top="0.75" bottom="0.75" header="0.3" footer="0.3"/>
  <x:drawing xmlns:r="http://schemas.openxmlformats.org/officeDocument/2006/relationships" r:id="R639146cc3f1d488e"/>
</x:worksheet>
</file>

<file path=xl/worksheets/sheet3.xml><?xml version="1.0" encoding="utf-8"?>
<x:worksheet xmlns:x="http://schemas.openxmlformats.org/spreadsheetml/2006/main">
  <x:sheetPr>
    <x:tabColor rgb="FF285F8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2" hidden="0" customWidth="1"/>
    <x:col min="10" max="10" width="13" hidden="0" customWidth="1"/>
    <x:col min="11" max="11" width="13" hidden="0" customWidth="1"/>
    <x:col min="12" max="12" width="20" hidden="0" customWidth="1"/>
  </x:cols>
  <x:sheetData>
    <x:row r="1" ht="24" customHeight="1">
      <x:c r="A1" s="3" t="str">
        <x:v>估值快照及 A H 股权桥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5" t="str">
        <x:v>EV 分母统一明确为 2025A，非 TTM。2026E P/E 为 L3 冻结输入；Choice TTM 单独列示。EV完整桥仍为 PARTIAL。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6" t="str">
        <x:v>研究 2026-09-05 | 估值 2026-09-02 | 金额人民币亿元，特别注明除外 | 缺失不填零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2" customHeight="1">
      <x:c r="A6" s="9" t="str">
        <x:v>公司</x:v>
      </x:c>
      <x:c r="B6" s="9" t="str">
        <x:v>Wind EV 亿元</x:v>
      </x:c>
      <x:c r="C6" s="9" t="str">
        <x:v>2025A EBITDA</x:v>
      </x:c>
      <x:c r="D6" s="9" t="str">
        <x:v>2025A收入</x:v>
      </x:c>
      <x:c r="E6" s="9" t="str">
        <x:v>EV/2025A EBITDA</x:v>
      </x:c>
      <x:c r="F6" s="9" t="str">
        <x:v>EV/2025A收入</x:v>
      </x:c>
      <x:c r="G6" s="9" t="str">
        <x:v>2026E P/E冻结</x:v>
      </x:c>
      <x:c r="H6" s="9" t="str">
        <x:v>Choice TTM P/E</x:v>
      </x:c>
      <x:c r="I6" s="9" t="str">
        <x:v>Choice EV原值</x:v>
      </x:c>
      <x:c r="J6" s="9" t="str">
        <x:v>Choice EV/1e8</x:v>
      </x:c>
      <x:c r="K6" s="9" t="str">
        <x:v>EV跨源差</x:v>
      </x:c>
      <x:c r="L6" s="9" t="str">
        <x:v>状态</x:v>
      </x:c>
    </x:row>
    <x:row r="7" ht="24" customHeight="1">
      <x:c r="A7" s="2" t="str">
        <x:v>长飞光纤</x:v>
      </x:c>
      <x:c r="B7" s="13" t="n">
        <x:v>2310.5978</x:v>
      </x:c>
      <x:c r="C7" s="13" t="n">
        <x:v>25.3588</x:v>
      </x:c>
      <x:c r="D7" s="31" t="n">
        <x:f>'公司财务'!D7</x:f>
        <x:v>142.521</x:v>
      </x:c>
      <x:c r="E7" s="19" t="n">
        <x:f>B7/C7</x:f>
        <x:v>91.11621212360207</x:v>
      </x:c>
      <x:c r="F7" s="19" t="n">
        <x:f>B7/D7</x:f>
        <x:v>16.21233221770827</x:v>
      </x:c>
      <x:c r="G7" s="13" t="n">
        <x:v>34.4</x:v>
      </x:c>
      <x:c r="H7" s="13" t="n">
        <x:v>98.072993</x:v>
      </x:c>
      <x:c r="I7" s="21" t="n">
        <x:v>231059782926.36688</x:v>
      </x:c>
      <x:c r="J7" s="19" t="n">
        <x:f>I7/100000000</x:f>
        <x:v>2310.5978292636687</x:v>
      </x:c>
      <x:c r="K7" s="35" t="n">
        <x:f>J7-B7</x:f>
        <x:v>0.000029263668693602085</x:v>
      </x:c>
      <x:c r="L7" s="2" t="str">
        <x:v>W4/C3 PARTIAL</x:v>
      </x:c>
    </x:row>
    <x:row r="8" ht="24" customHeight="1">
      <x:c r="A8" s="11" t="str">
        <x:v>中天科技</x:v>
      </x:c>
      <x:c r="B8" s="14" t="n">
        <x:v>1010.474</x:v>
      </x:c>
      <x:c r="C8" s="14" t="n">
        <x:v>46.8832</x:v>
      </x:c>
      <x:c r="D8" s="32" t="n">
        <x:f>'公司财务'!D8</x:f>
        <x:v>524.9986</x:v>
      </x:c>
      <x:c r="E8" s="33" t="n">
        <x:f>B8/C8</x:f>
        <x:v>21.55300832707665</x:v>
      </x:c>
      <x:c r="F8" s="33" t="n">
        <x:f>B8/D8</x:f>
        <x:v>1.924717513532417</x:v>
      </x:c>
      <x:c r="G8" s="14" t="n">
        <x:v>18.1</x:v>
      </x:c>
      <x:c r="H8" s="14" t="n">
        <x:v>30.846298</x:v>
      </x:c>
      <x:c r="I8" s="34" t="n">
        <x:v>101047404100.41</x:v>
      </x:c>
      <x:c r="J8" s="33" t="n">
        <x:f>I8/100000000</x:f>
        <x:v>1010.4740410041001</x:v>
      </x:c>
      <x:c r="K8" s="36" t="n">
        <x:f>J8-B8</x:f>
        <x:v>0.00004100410001228738</x:v>
      </x:c>
      <x:c r="L8" s="11" t="str">
        <x:v>W4/C3 PARTIAL</x:v>
      </x:c>
    </x:row>
    <x:row r="9" ht="24" customHeight="1">
      <x:c r="A9" s="2" t="str">
        <x:v>亨通光电</x:v>
      </x:c>
      <x:c r="B9" s="13" t="n">
        <x:v>1708.6437</x:v>
      </x:c>
      <x:c r="C9" s="13" t="n">
        <x:v>49.079</x:v>
      </x:c>
      <x:c r="D9" s="31" t="n">
        <x:f>'公司财务'!D9</x:f>
        <x:v>668.5485</x:v>
      </x:c>
      <x:c r="E9" s="19" t="n">
        <x:f>B9/C9</x:f>
        <x:v>34.81415065506632</x:v>
      </x:c>
      <x:c r="F9" s="19" t="n">
        <x:f>B9/D9</x:f>
        <x:v>2.5557513030094303</x:v>
      </x:c>
      <x:c r="G9" s="13" t="n">
        <x:v>21.3</x:v>
      </x:c>
      <x:c r="H9" s="13" t="n">
        <x:v>39.410988</x:v>
      </x:c>
      <x:c r="I9" s="21" t="n">
        <x:v>170864365597.90997</x:v>
      </x:c>
      <x:c r="J9" s="19" t="n">
        <x:f>I9/100000000</x:f>
        <x:v>1708.6436559790998</x:v>
      </x:c>
      <x:c r="K9" s="35" t="n">
        <x:f>J9-B9</x:f>
        <x:v>-0.000044020900304531096</x:v>
      </x:c>
      <x:c r="L9" s="2" t="str">
        <x:v>W4/C3 PARTIAL</x:v>
      </x:c>
    </x:row>
    <x:row r="10" ht="24" customHeight="1">
      <x:c r="A10" s="11" t="str">
        <x:v>烽火通信</x:v>
      </x:c>
      <x:c r="B10" s="14" t="n">
        <x:v>621.1507</x:v>
      </x:c>
      <x:c r="C10" s="14" t="n">
        <x:v>18.3866</x:v>
      </x:c>
      <x:c r="D10" s="32" t="n">
        <x:f>'公司财务'!D10</x:f>
        <x:v>249.1855</x:v>
      </x:c>
      <x:c r="E10" s="33" t="n">
        <x:f>B10/C10</x:f>
        <x:v>33.782792903527564</x:v>
      </x:c>
      <x:c r="F10" s="33" t="n">
        <x:f>B10/D10</x:f>
        <x:v>2.492724095101842</x:v>
      </x:c>
      <x:c r="G10" s="14" t="n">
        <x:v>37.4</x:v>
      </x:c>
      <x:c r="H10" s="14" t="n">
        <x:v>159.296059</x:v>
      </x:c>
      <x:c r="I10" s="34" t="n">
        <x:v>62115067910.7</x:v>
      </x:c>
      <x:c r="J10" s="33" t="n">
        <x:f>I10/100000000</x:f>
        <x:v>621.150679107</x:v>
      </x:c>
      <x:c r="K10" s="36" t="n">
        <x:f>J10-B10</x:f>
        <x:v>-0.00002089300005536643</x:v>
      </x:c>
      <x:c r="L10" s="11" t="str">
        <x:v>W4/C3 PARTIAL</x:v>
      </x:c>
    </x:row>
    <x:row r="11" ht="24" customHeight="1">
      <x:c r="A11" s="2" t="str">
        <x:v>中际旭创</x:v>
      </x:c>
      <x:c r="B11" s="13" t="n">
        <x:v>9666.4475</x:v>
      </x:c>
      <x:c r="C11" s="13" t="n">
        <x:v>143.5212</x:v>
      </x:c>
      <x:c r="D11" s="31" t="n">
        <x:f>'公司财务'!D11</x:f>
        <x:v>382.3994</x:v>
      </x:c>
      <x:c r="E11" s="19" t="n">
        <x:f>B11/C11</x:f>
        <x:v>67.35205321583153</x:v>
      </x:c>
      <x:c r="F11" s="19" t="n">
        <x:f>B11/D11</x:f>
        <x:v>25.278406556077233</x:v>
      </x:c>
      <x:c r="G11" s="13" t="n">
        <x:v>30.4</x:v>
      </x:c>
      <x:c r="H11" s="13" t="n">
        <x:v>47.362207</x:v>
      </x:c>
      <x:c r="I11" s="21" t="n">
        <x:v>966644748801.4601</x:v>
      </x:c>
      <x:c r="J11" s="19" t="n">
        <x:f>I11/100000000</x:f>
        <x:v>9666.4474880146</x:v>
      </x:c>
      <x:c r="K11" s="35" t="n">
        <x:f>J11-B11</x:f>
        <x:v>-0.000011985399396508</x:v>
      </x:c>
      <x:c r="L11" s="2" t="str">
        <x:v>W4/C3 PARTIAL</x:v>
      </x:c>
    </x:row>
    <x:row r="12" ht="24" customHeight="1">
      <x:c r="A12" s="11" t="str">
        <x:v>光迅科技</x:v>
      </x:c>
      <x:c r="B12" s="14" t="n">
        <x:v>1379.4947</x:v>
      </x:c>
      <x:c r="C12" s="14" t="n">
        <x:v>14.3843</x:v>
      </x:c>
      <x:c r="D12" s="32" t="n">
        <x:f>'公司财务'!D12</x:f>
        <x:v>119.287</x:v>
      </x:c>
      <x:c r="E12" s="33" t="n">
        <x:f>B12/C12</x:f>
        <x:v>95.90280375131219</x:v>
      </x:c>
      <x:c r="F12" s="33" t="n">
        <x:f>B12/D12</x:f>
        <x:v>11.564501580222487</x:v>
      </x:c>
      <x:c r="G12" s="14" t="n">
        <x:v>86.4</x:v>
      </x:c>
      <x:c r="H12" s="14" t="n">
        <x:v>124.191926</x:v>
      </x:c>
      <x:c r="I12" s="34" t="n">
        <x:v>137949470786.38998</x:v>
      </x:c>
      <x:c r="J12" s="33" t="n">
        <x:f>I12/100000000</x:f>
        <x:v>1379.4947078638997</x:v>
      </x:c>
      <x:c r="K12" s="36" t="n">
        <x:f>J12-B12</x:f>
        <x:v>0.000007863899782023509</x:v>
      </x:c>
      <x:c r="L12" s="11" t="str">
        <x:v>W4/C3 PARTIAL</x:v>
      </x:c>
    </x:row>
    <x:row r="13" ht="24" customHeight="1">
      <x:c r="A13" s="2" t="str">
        <x:v>天孚通信</x:v>
      </x:c>
      <x:c r="B13" s="13" t="n">
        <x:v>2698.0414</x:v>
      </x:c>
      <x:c r="C13" s="13" t="n">
        <x:v>24.4182</x:v>
      </x:c>
      <x:c r="D13" s="31" t="n">
        <x:f>'公司财务'!D13</x:f>
        <x:v>51.6343</x:v>
      </x:c>
      <x:c r="E13" s="19" t="n">
        <x:f>B13/C13</x:f>
        <x:v>110.49305026578537</x:v>
      </x:c>
      <x:c r="F13" s="19" t="n">
        <x:f>B13/D13</x:f>
        <x:v>52.25289003627434</x:v>
      </x:c>
      <x:c r="G13" s="13" t="n">
        <x:v>77.3</x:v>
      </x:c>
      <x:c r="H13" s="13" t="n">
        <x:v>117.428893</x:v>
      </x:c>
      <x:c r="I13" s="21" t="n">
        <x:v>269804142554.43</x:v>
      </x:c>
      <x:c r="J13" s="19" t="n">
        <x:f>I13/100000000</x:f>
        <x:v>2698.0414255442997</x:v>
      </x:c>
      <x:c r="K13" s="35" t="n">
        <x:f>J13-B13</x:f>
        <x:v>0.000025544299660396064</x:v>
      </x:c>
      <x:c r="L13" s="2" t="str">
        <x:v>W4/C3 PARTIAL</x:v>
      </x:c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0" t="str">
        <x:v>长飞 H列为A股TTM P/E，与混合市值口径不同。Choice长飞EVTOEBITDAFT=90.7213，Wind=91.1163；保留差异。EV/2025A收入不是TTM PS。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42" customHeight="1">
      <x:c r="A19" s="9" t="str">
        <x:v>长飞输入</x:v>
      </x:c>
      <x:c r="B19" s="9" t="str">
        <x:v>数值</x:v>
      </x:c>
      <x:c r="C19" s="9" t="str">
        <x:v>单位与来源</x:v>
      </x:c>
      <x:c r="D19" s="2"/>
      <x:c r="E19" s="9" t="str">
        <x:v>派生结果</x:v>
      </x:c>
      <x:c r="F19" s="9" t="str">
        <x:v>数值</x:v>
      </x:c>
      <x:c r="G19" s="9" t="str">
        <x:v>单位</x:v>
      </x:c>
      <x:c r="H19" s="9" t="str">
        <x:v>含义</x:v>
      </x:c>
      <x:c r="I19" s="9" t="str">
        <x:v>并购会计桥</x:v>
      </x:c>
      <x:c r="J19" s="9" t="str">
        <x:v>人民币元</x:v>
      </x:c>
      <x:c r="K19" s="9" t="str">
        <x:v>性质</x:v>
      </x:c>
      <x:c r="L19" s="9" t="str">
        <x:v>来源</x:v>
      </x:c>
    </x:row>
    <x:row r="20" ht="34" customHeight="1">
      <x:c r="A20" s="2" t="str">
        <x:v>A股价格</x:v>
      </x:c>
      <x:c r="B20" s="37" t="n">
        <x:v>407.8</x:v>
      </x:c>
      <x:c r="C20" s="2" t="str">
        <x:v>元/股 L3</x:v>
      </x:c>
      <x:c r="D20" s="2"/>
      <x:c r="E20" s="20" t="str">
        <x:v>A股市值</x:v>
      </x:c>
      <x:c r="F20" s="65" t="n">
        <x:f>B20*B23/100000000</x:f>
        <x:v>1657.047644492</x:v>
      </x:c>
      <x:c r="G20" s="20" t="str">
        <x:v>亿元</x:v>
      </x:c>
      <x:c r="H20" s="20" t="str">
        <x:v>A价乘A股数</x:v>
      </x:c>
      <x:c r="I20" s="20" t="str">
        <x:v>奔腾浙江现金支付</x:v>
      </x:c>
      <x:c r="J20" s="66" t="n">
        <x:v>239959832</x:v>
      </x:c>
      <x:c r="K20" s="20" t="str">
        <x:v>已披露</x:v>
      </x:c>
      <x:c r="L20" s="20" t="str">
        <x:v>W7</x:v>
      </x:c>
    </x:row>
    <x:row r="21" ht="34" customHeight="1">
      <x:c r="A21" s="2" t="str">
        <x:v>H股价格</x:v>
      </x:c>
      <x:c r="B21" s="37" t="n">
        <x:v>169.4</x:v>
      </x:c>
      <x:c r="C21" s="2" t="str">
        <x:v>港元/股 L3</x:v>
      </x:c>
      <x:c r="D21" s="2"/>
      <x:c r="E21" s="20" t="str">
        <x:v>H股市值</x:v>
      </x:c>
      <x:c r="F21" s="65" t="n">
        <x:f>B21*B22*B24/100000000</x:f>
        <x:v>617.704614891669</x:v>
      </x:c>
      <x:c r="G21" s="20" t="str">
        <x:v>亿元</x:v>
      </x:c>
      <x:c r="H21" s="20" t="str">
        <x:v>H价乘汇率乘H股数</x:v>
      </x:c>
      <x:c r="I21" s="20" t="str">
        <x:v>预期补偿资产</x:v>
      </x:c>
      <x:c r="J21" s="66" t="n">
        <x:v>6154646</x:v>
      </x:c>
      <x:c r="K21" s="20" t="str">
        <x:v>已披露</x:v>
      </x:c>
      <x:c r="L21" s="20" t="str">
        <x:v>W7</x:v>
      </x:c>
    </x:row>
    <x:row r="22" ht="34" customHeight="1">
      <x:c r="A22" s="2" t="str">
        <x:v>港元兑人民币</x:v>
      </x:c>
      <x:c r="B22" s="37" t="n">
        <x:v>0.86497</x:v>
      </x:c>
      <x:c r="C22" s="2" t="str">
        <x:v>人民币/港元 L3</x:v>
      </x:c>
      <x:c r="D22" s="2"/>
      <x:c r="E22" s="20" t="str">
        <x:v>混合市值</x:v>
      </x:c>
      <x:c r="F22" s="65" t="n">
        <x:f>SUM(F20:F21)</x:f>
        <x:v>2274.7522593836693</x:v>
      </x:c>
      <x:c r="G22" s="20" t="str">
        <x:v>亿元</x:v>
      </x:c>
      <x:c r="H22" s="20" t="str">
        <x:v>不是全股本乘A价</x:v>
      </x:c>
      <x:c r="I22" s="20" t="str">
        <x:v>会计合并成本</x:v>
      </x:c>
      <x:c r="J22" s="67" t="n">
        <x:f>J20-J21</x:f>
        <x:v>233805186</x:v>
      </x:c>
      <x:c r="K22" s="20" t="str">
        <x:v>派生</x:v>
      </x:c>
      <x:c r="L22" s="20" t="str">
        <x:v>W7</x:v>
      </x:c>
    </x:row>
    <x:row r="23" ht="34" customHeight="1">
      <x:c r="A23" s="2" t="str">
        <x:v>A股数量</x:v>
      </x:c>
      <x:c r="B23" s="21" t="n">
        <x:v>406338314</x:v>
      </x:c>
      <x:c r="C23" s="2" t="str">
        <x:v>股 L3</x:v>
      </x:c>
      <x:c r="D23" s="2"/>
      <x:c r="E23" s="20" t="str">
        <x:v>2026E每股盈利</x:v>
      </x:c>
      <x:c r="F23" s="65" t="n">
        <x:f>B25*100000000/SUM(B23:B24)</x:f>
        <x:v>7.983342458131084</x:v>
      </x:c>
      <x:c r="G23" s="20" t="str">
        <x:v>元/股</x:v>
      </x:c>
      <x:c r="H23" s="20" t="str">
        <x:v>期末股本法</x:v>
      </x:c>
      <x:c r="I23" s="20" t="str">
        <x:v>取得净资产份额</x:v>
      </x:c>
      <x:c r="J23" s="66" t="n">
        <x:v>212998053</x:v>
      </x:c>
      <x:c r="K23" s="20" t="str">
        <x:v>已披露</x:v>
      </x:c>
      <x:c r="L23" s="20" t="str">
        <x:v>W7</x:v>
      </x:c>
    </x:row>
    <x:row r="24" ht="34" customHeight="1">
      <x:c r="A24" s="2" t="str">
        <x:v>H股数量</x:v>
      </x:c>
      <x:c r="B24" s="21" t="n">
        <x:v>421566794</x:v>
      </x:c>
      <x:c r="C24" s="2" t="str">
        <x:v>股 L3</x:v>
      </x:c>
      <x:c r="D24" s="2"/>
      <x:c r="E24" s="20" t="str">
        <x:v>A股2026E P/E</x:v>
      </x:c>
      <x:c r="F24" s="65" t="n">
        <x:f>B20/F23</x:f>
        <x:v>51.081361239195395</x:v>
      </x:c>
      <x:c r="G24" s="20" t="str">
        <x:v>倍</x:v>
      </x:c>
      <x:c r="H24" s="20" t="str">
        <x:v>同一EPS</x:v>
      </x:c>
      <x:c r="I24" s="20" t="str">
        <x:v>商誉</x:v>
      </x:c>
      <x:c r="J24" s="67" t="n">
        <x:f>J22-J23</x:f>
        <x:v>20807133</x:v>
      </x:c>
      <x:c r="K24" s="20" t="str">
        <x:v>派生</x:v>
      </x:c>
      <x:c r="L24" s="20" t="str">
        <x:v>W7</x:v>
      </x:c>
    </x:row>
    <x:row r="25" ht="34" customHeight="1">
      <x:c r="A25" s="2" t="str">
        <x:v>2026E归母净利</x:v>
      </x:c>
      <x:c r="B25" s="37" t="n">
        <x:v>66.0945</x:v>
      </x:c>
      <x:c r="C25" s="2" t="str">
        <x:v>亿元 L3</x:v>
      </x:c>
      <x:c r="D25" s="2"/>
      <x:c r="E25" s="20" t="str">
        <x:v>H股2026E P/E</x:v>
      </x:c>
      <x:c r="F25" s="65" t="n">
        <x:f>B21*B22/F23</x:f>
        <x:v>18.353956224283284</x:v>
      </x:c>
      <x:c r="G25" s="20" t="str">
        <x:v>倍</x:v>
      </x:c>
      <x:c r="H25" s="20" t="str">
        <x:v>同一EPS</x:v>
      </x:c>
      <x:c r="I25" s="20" t="str">
        <x:v>取得净资产成本比</x:v>
      </x:c>
      <x:c r="J25" s="68" t="n">
        <x:f>J22/J23</x:f>
        <x:v>1.0976869633639328</x:v>
      </x:c>
      <x:c r="K25" s="20" t="str">
        <x:v>不是EV倍数</x:v>
      </x:c>
      <x:c r="L25" s="20" t="str">
        <x:v>DERIVED</x:v>
      </x:c>
    </x:row>
    <x:row r="26" ht="34" customHeight="1">
      <x:c r="A26" s="2"/>
      <x:c r="B26" s="2"/>
      <x:c r="C26" s="2"/>
      <x:c r="D26" s="2"/>
      <x:c r="E26" s="20" t="str">
        <x:v>混合2026E P/E</x:v>
      </x:c>
      <x:c r="F26" s="65" t="n">
        <x:f>F22/B25</x:f>
        <x:v>34.4166649174087</x:v>
      </x:c>
      <x:c r="G26" s="20" t="str">
        <x:v>倍</x:v>
      </x:c>
      <x:c r="H26" s="20" t="str">
        <x:v>混合市值/净利</x:v>
      </x:c>
      <x:c r="I26" s="20"/>
      <x:c r="J26" s="20"/>
      <x:c r="K26" s="20"/>
      <x:c r="L26" s="20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0" t="str">
        <x:v>完整TTM EV桥 MISSING：现金、金融投资、有息债务、租赁负债、少数股东权益与合并范围尚未统一核对。不得以供应商字段名替代定义。全球CR5和交易EV倍数缺口见来源页。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</x:sheetData>
  <x:mergeCells>
    <x:mergeCell ref="A1:L2"/>
    <x:mergeCell ref="A3:L4"/>
    <x:mergeCell ref="A5:L5"/>
    <x:mergeCell ref="A15:L16"/>
    <x:mergeCell ref="A29:L31"/>
  </x:mergeCells>
  <x:pageMargins left="0.7" right="0.7" top="0.75" bottom="0.75" header="0.3" footer="0.3"/>
  <x:legacyDrawing xmlns:r="http://schemas.openxmlformats.org/officeDocument/2006/relationships" r:id="Rc38e4f9b1e0a4fb9"/>
</x:worksheet>
</file>

<file path=xl/worksheets/sheet4.xml><?xml version="1.0" encoding="utf-8"?>
<x:worksheet xmlns:x="http://schemas.openxmlformats.org/spreadsheetml/2006/main">
  <x:sheetPr>
    <x:tabColor rgb="FF285F8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8" hidden="0" customWidth="1"/>
    <x:col min="11" max="11" width="18" hidden="0" customWidth="1"/>
    <x:col min="12" max="12" width="13" hidden="0" customWidth="1"/>
    <x:col min="13" max="13" width="13" hidden="0" customWidth="1"/>
    <x:col min="14" max="14" width="18" hidden="0" customWidth="1"/>
  </x:cols>
  <x:sheetData>
    <x:row r="1" ht="24" customHeight="1">
      <x:c r="A1" s="3" t="str">
        <x:v>历史估值 月末固定样本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5" t="str">
        <x:v>C1/C2：Choice PETTM。2020至2025历史范围72个月末点；全序列81日期。固定样本中位数不是历史成分行业指数，存在选择偏差。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A5" s="6" t="str">
        <x:v>研究 2026-09-05 | 估值 2026-09-02 | 金额人民币亿元，特别注明除外 | 缺失不填零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2" customHeight="1">
      <x:c r="A6" s="9" t="str">
        <x:v>日期</x:v>
      </x:c>
      <x:c r="B6" s="9" t="str">
        <x:v>长飞光纤</x:v>
      </x:c>
      <x:c r="C6" s="9" t="str">
        <x:v>中天科技</x:v>
      </x:c>
      <x:c r="D6" s="9" t="str">
        <x:v>亨通光电</x:v>
      </x:c>
      <x:c r="E6" s="9" t="str">
        <x:v>烽火通信</x:v>
      </x:c>
      <x:c r="F6" s="9" t="str">
        <x:v>中际旭创</x:v>
      </x:c>
      <x:c r="G6" s="9" t="str">
        <x:v>光迅科技</x:v>
      </x:c>
      <x:c r="H6" s="9" t="str">
        <x:v>天孚通信</x:v>
      </x:c>
      <x:c r="I6" s="9" t="str">
        <x:v>沪深300</x:v>
      </x:c>
      <x:c r="J6" s="9" t="str">
        <x:v>核心组中位数</x:v>
      </x:c>
      <x:c r="K6" s="9" t="str">
        <x:v>AI组中位数</x:v>
      </x:c>
      <x:c r="L6" s="9" t="str">
        <x:v>月份文本</x:v>
      </x:c>
      <x:c r="M6" s="9" t="str">
        <x:v>来源</x:v>
      </x:c>
      <x:c r="N6" s="9" t="str">
        <x:v>长飞A股图源</x:v>
      </x:c>
    </x:row>
    <x:row r="7" ht="24" customHeight="1">
      <x:c r="A7" s="39" t="n">
        <x:v>43853</x:v>
      </x:c>
      <x:c r="B7" s="23" t="n">
        <x:v>27.527401</x:v>
      </x:c>
      <x:c r="C7" s="23" t="n">
        <x:v>13.216643</x:v>
      </x:c>
      <x:c r="D7" s="23" t="n">
        <x:v>19.58134</x:v>
      </x:c>
      <x:c r="E7" s="23" t="n">
        <x:v>36.586662</x:v>
      </x:c>
      <x:c r="F7" s="23" t="n">
        <x:v>76.323848</x:v>
      </x:c>
      <x:c r="G7" s="23" t="n">
        <x:v>59.718754</x:v>
      </x:c>
      <x:c r="H7" s="23" t="n">
        <x:v>44.057717</x:v>
      </x:c>
      <x:c r="I7" s="23" t="n">
        <x:v>12.1862</x:v>
      </x:c>
      <x:c r="J7" s="24" t="n">
        <x:f>MEDIAN(C7:E7)</x:f>
        <x:v>19.58134</x:v>
      </x:c>
      <x:c r="K7" s="24" t="n">
        <x:f>MEDIAN(F7:H7)</x:f>
        <x:v>59.718754</x:v>
      </x:c>
      <x:c r="L7" s="2" t="str">
        <x:v>2020-01</x:v>
      </x:c>
      <x:c r="M7" s="2" t="str">
        <x:v>C1/C2</x:v>
      </x:c>
      <x:c r="N7" s="24" t="n">
        <x:f>B7</x:f>
        <x:v>27.527401</x:v>
      </x:c>
    </x:row>
    <x:row r="8" ht="24" customHeight="1">
      <x:c r="A8" s="39" t="n">
        <x:v>43889</x:v>
      </x:c>
      <x:c r="B8" s="23" t="n">
        <x:v>27.954377</x:v>
      </x:c>
      <x:c r="C8" s="23" t="n">
        <x:v>13.472658</x:v>
      </x:c>
      <x:c r="D8" s="23" t="n">
        <x:v>19.451428</x:v>
      </x:c>
      <x:c r="E8" s="23" t="n">
        <x:v>42.187235</x:v>
      </x:c>
      <x:c r="F8" s="23" t="n">
        <x:v>86.214169</x:v>
      </x:c>
      <x:c r="G8" s="23" t="n">
        <x:v>60.385664</x:v>
      </x:c>
      <x:c r="H8" s="23" t="n">
        <x:v>56.783674</x:v>
      </x:c>
      <x:c r="I8" s="23" t="n">
        <x:v>11.8104</x:v>
      </x:c>
      <x:c r="J8" s="24" t="n">
        <x:f>MEDIAN(C8:E8)</x:f>
        <x:v>19.451428</x:v>
      </x:c>
      <x:c r="K8" s="24" t="n">
        <x:f>MEDIAN(F8:H8)</x:f>
        <x:v>60.385664</x:v>
      </x:c>
      <x:c r="L8" s="2" t="str">
        <x:v>2020-02</x:v>
      </x:c>
      <x:c r="M8" s="2" t="str">
        <x:v>C1/C2</x:v>
      </x:c>
      <x:c r="N8" s="24" t="n">
        <x:f>B8</x:f>
        <x:v>27.954377</x:v>
      </x:c>
    </x:row>
    <x:row r="9" ht="24" customHeight="1">
      <x:c r="A9" s="39" t="n">
        <x:v>43921</x:v>
      </x:c>
      <x:c r="B9" s="23" t="n">
        <x:v>30.042828</x:v>
      </x:c>
      <x:c r="C9" s="23" t="n">
        <x:v>15.376925</x:v>
      </x:c>
      <x:c r="D9" s="23" t="n">
        <x:v>19.601303</x:v>
      </x:c>
      <x:c r="E9" s="23" t="n">
        <x:v>46.493204</x:v>
      </x:c>
      <x:c r="F9" s="23" t="n">
        <x:v>74.693933</x:v>
      </x:c>
      <x:c r="G9" s="23" t="n">
        <x:v>63.477701</x:v>
      </x:c>
      <x:c r="H9" s="23" t="n">
        <x:v>47.471882</x:v>
      </x:c>
      <x:c r="I9" s="23" t="n">
        <x:v>11.0234</x:v>
      </x:c>
      <x:c r="J9" s="24" t="n">
        <x:f>MEDIAN(C9:E9)</x:f>
        <x:v>19.601303</x:v>
      </x:c>
      <x:c r="K9" s="24" t="n">
        <x:f>MEDIAN(F9:H9)</x:f>
        <x:v>63.477701</x:v>
      </x:c>
      <x:c r="L9" s="2" t="str">
        <x:v>2020-03</x:v>
      </x:c>
      <x:c r="M9" s="2" t="str">
        <x:v>C1/C2</x:v>
      </x:c>
      <x:c r="N9" s="24" t="n">
        <x:f>B9</x:f>
        <x:v>30.042828</x:v>
      </x:c>
    </x:row>
    <x:row r="10" ht="24" customHeight="1">
      <x:c r="A10" s="39" t="n">
        <x:v>43951</x:v>
      </x:c>
      <x:c r="B10" s="23" t="n">
        <x:v>44.271639</x:v>
      </x:c>
      <x:c r="C10" s="23" t="n">
        <x:v>18.923915</x:v>
      </x:c>
      <x:c r="D10" s="23" t="n">
        <x:v>28.499549</x:v>
      </x:c>
      <x:c r="E10" s="23" t="n">
        <x:v>59.882326</x:v>
      </x:c>
      <x:c r="F10" s="23" t="n">
        <x:v>81.486764</x:v>
      </x:c>
      <x:c r="G10" s="23" t="n">
        <x:v>69.757251</x:v>
      </x:c>
      <x:c r="H10" s="23" t="n">
        <x:v>57.777828</x:v>
      </x:c>
      <x:c r="I10" s="23" t="n">
        <x:v>12.1476</x:v>
      </x:c>
      <x:c r="J10" s="24" t="n">
        <x:f>MEDIAN(C10:E10)</x:f>
        <x:v>28.499549</x:v>
      </x:c>
      <x:c r="K10" s="24" t="n">
        <x:f>MEDIAN(F10:H10)</x:f>
        <x:v>69.757251</x:v>
      </x:c>
      <x:c r="L10" s="2" t="str">
        <x:v>2020-04</x:v>
      </x:c>
      <x:c r="M10" s="2" t="str">
        <x:v>C1/C2</x:v>
      </x:c>
      <x:c r="N10" s="24" t="n">
        <x:f>B10</x:f>
        <x:v>44.271639</x:v>
      </x:c>
    </x:row>
    <x:row r="11" ht="24" customHeight="1">
      <x:c r="A11" s="39" t="n">
        <x:v>43980</x:v>
      </x:c>
      <x:c r="B11" s="23" t="n">
        <x:v>41.678145</x:v>
      </x:c>
      <x:c r="C11" s="23" t="n">
        <x:v>19.65241</x:v>
      </x:c>
      <x:c r="D11" s="23" t="n">
        <x:v>28.156594</x:v>
      </x:c>
      <x:c r="E11" s="23" t="n">
        <x:v>52.632422</x:v>
      </x:c>
      <x:c r="F11" s="23" t="n">
        <x:v>71.599301</x:v>
      </x:c>
      <x:c r="G11" s="23" t="n">
        <x:v>64.237738</x:v>
      </x:c>
      <x:c r="H11" s="23" t="n">
        <x:v>51.774793</x:v>
      </x:c>
      <x:c r="I11" s="23" t="n">
        <x:v>11.9684</x:v>
      </x:c>
      <x:c r="J11" s="24" t="n">
        <x:f>MEDIAN(C11:E11)</x:f>
        <x:v>28.156594</x:v>
      </x:c>
      <x:c r="K11" s="24" t="n">
        <x:f>MEDIAN(F11:H11)</x:f>
        <x:v>64.237738</x:v>
      </x:c>
      <x:c r="L11" s="2" t="str">
        <x:v>2020-05</x:v>
      </x:c>
      <x:c r="M11" s="2" t="str">
        <x:v>C1/C2</x:v>
      </x:c>
      <x:c r="N11" s="24" t="n">
        <x:f>B11</x:f>
        <x:v>41.678145</x:v>
      </x:c>
    </x:row>
    <x:row r="12" ht="24" customHeight="1">
      <x:c r="A12" s="39" t="n">
        <x:v>44012</x:v>
      </x:c>
      <x:c r="B12" s="23" t="n">
        <x:v>43.192185</x:v>
      </x:c>
      <x:c r="C12" s="23" t="n">
        <x:v>19.398399</x:v>
      </x:c>
      <x:c r="D12" s="23" t="n">
        <x:v>28.139616</x:v>
      </x:c>
      <x:c r="E12" s="23" t="n">
        <x:v>54.440905</x:v>
      </x:c>
      <x:c r="F12" s="23" t="n">
        <x:v>79.149956</x:v>
      </x:c>
      <x:c r="G12" s="23" t="n">
        <x:v>77.106733</x:v>
      </x:c>
      <x:c r="H12" s="23" t="n">
        <x:v>66.077773</x:v>
      </x:c>
      <x:c r="I12" s="23" t="n">
        <x:v>12.7012</x:v>
      </x:c>
      <x:c r="J12" s="24" t="n">
        <x:f>MEDIAN(C12:E12)</x:f>
        <x:v>28.139616</x:v>
      </x:c>
      <x:c r="K12" s="24" t="n">
        <x:f>MEDIAN(F12:H12)</x:f>
        <x:v>77.106733</x:v>
      </x:c>
      <x:c r="L12" s="2" t="str">
        <x:v>2020-06</x:v>
      </x:c>
      <x:c r="M12" s="2" t="str">
        <x:v>C1/C2</x:v>
      </x:c>
      <x:c r="N12" s="24" t="n">
        <x:f>B12</x:f>
        <x:v>43.192185</x:v>
      </x:c>
    </x:row>
    <x:row r="13" ht="24" customHeight="1">
      <x:c r="A13" s="39" t="n">
        <x:v>44043</x:v>
      </x:c>
      <x:c r="B13" s="23" t="n">
        <x:v>43.809016</x:v>
      </x:c>
      <x:c r="C13" s="23" t="n">
        <x:v>19.77112</x:v>
      </x:c>
      <x:c r="D13" s="23" t="n">
        <x:v>28.345477</x:v>
      </x:c>
      <x:c r="E13" s="23" t="n">
        <x:v>53.461818</x:v>
      </x:c>
      <x:c r="F13" s="23" t="n">
        <x:v>74.22507</x:v>
      </x:c>
      <x:c r="G13" s="23" t="n">
        <x:v>75.79268</x:v>
      </x:c>
      <x:c r="H13" s="23" t="n">
        <x:v>78.393011</x:v>
      </x:c>
      <x:c r="I13" s="23" t="n">
        <x:v>14.011</x:v>
      </x:c>
      <x:c r="J13" s="24" t="n">
        <x:f>MEDIAN(C13:E13)</x:f>
        <x:v>28.345477</x:v>
      </x:c>
      <x:c r="K13" s="24" t="n">
        <x:f>MEDIAN(F13:H13)</x:f>
        <x:v>75.79268</x:v>
      </x:c>
      <x:c r="L13" s="2" t="str">
        <x:v>2020-07</x:v>
      </x:c>
      <x:c r="M13" s="2" t="str">
        <x:v>C1/C2</x:v>
      </x:c>
      <x:c r="N13" s="24" t="n">
        <x:f>B13</x:f>
        <x:v>43.809016</x:v>
      </x:c>
    </x:row>
    <x:row r="14" ht="24" customHeight="1">
      <x:c r="A14" s="39" t="n">
        <x:v>44074</x:v>
      </x:c>
      <x:c r="B14" s="23" t="n">
        <x:v>38.41456</x:v>
      </x:c>
      <x:c r="C14" s="23" t="n">
        <x:v>17.644473</x:v>
      </x:c>
      <x:c r="D14" s="23" t="n">
        <x:v>29.70686</x:v>
      </x:c>
      <x:c r="E14" s="23" t="n">
        <x:v>50.753497</x:v>
      </x:c>
      <x:c r="F14" s="23" t="n">
        <x:v>62.901337</x:v>
      </x:c>
      <x:c r="G14" s="23" t="n">
        <x:v>52.472058</x:v>
      </x:c>
      <x:c r="H14" s="23" t="n">
        <x:v>61.357372</x:v>
      </x:c>
      <x:c r="I14" s="23" t="n">
        <x:v>15.2777</x:v>
      </x:c>
      <x:c r="J14" s="24" t="n">
        <x:f>MEDIAN(C14:E14)</x:f>
        <x:v>29.70686</x:v>
      </x:c>
      <x:c r="K14" s="24" t="n">
        <x:f>MEDIAN(F14:H14)</x:f>
        <x:v>61.357372</x:v>
      </x:c>
      <x:c r="L14" s="2" t="str">
        <x:v>2020-08</x:v>
      </x:c>
      <x:c r="M14" s="2" t="str">
        <x:v>C1/C2</x:v>
      </x:c>
      <x:c r="N14" s="24" t="n">
        <x:f>B14</x:f>
        <x:v>38.41456</x:v>
      </x:c>
    </x:row>
    <x:row r="15" ht="24" customHeight="1">
      <x:c r="A15" s="39" t="n">
        <x:v>44104</x:v>
      </x:c>
      <x:c r="B15" s="23" t="n">
        <x:v>35.162982</x:v>
      </x:c>
      <x:c r="C15" s="23" t="n">
        <x:v>16.364136</x:v>
      </x:c>
      <x:c r="D15" s="23" t="n">
        <x:v>26.200195</x:v>
      </x:c>
      <x:c r="E15" s="23" t="n">
        <x:v>45.818539</x:v>
      </x:c>
      <x:c r="F15" s="23" t="n">
        <x:v>53.435859</x:v>
      </x:c>
      <x:c r="G15" s="23" t="n">
        <x:v>57.641289</x:v>
      </x:c>
      <x:c r="H15" s="23" t="n">
        <x:v>51.769603</x:v>
      </x:c>
      <x:c r="I15" s="23" t="n">
        <x:v>14.6592</x:v>
      </x:c>
      <x:c r="J15" s="24" t="n">
        <x:f>MEDIAN(C15:E15)</x:f>
        <x:v>26.200195</x:v>
      </x:c>
      <x:c r="K15" s="24" t="n">
        <x:f>MEDIAN(F15:H15)</x:f>
        <x:v>53.435859</x:v>
      </x:c>
      <x:c r="L15" s="2" t="str">
        <x:v>2020-09</x:v>
      </x:c>
      <x:c r="M15" s="2" t="str">
        <x:v>C1/C2</x:v>
      </x:c>
      <x:c r="N15" s="24" t="n">
        <x:f>B15</x:f>
        <x:v>35.162982</x:v>
      </x:c>
    </x:row>
    <x:row r="16" ht="24" customHeight="1">
      <x:c r="A16" s="39" t="n">
        <x:v>44134</x:v>
      </x:c>
      <x:c r="B16" s="23" t="n">
        <x:v>35.187157</x:v>
      </x:c>
      <x:c r="C16" s="23" t="n">
        <x:v>17.222941</x:v>
      </x:c>
      <x:c r="D16" s="23" t="n">
        <x:v>26.636259</x:v>
      </x:c>
      <x:c r="E16" s="23" t="n">
        <x:v>45.529281</x:v>
      </x:c>
      <x:c r="F16" s="23" t="n">
        <x:v>44.650791</x:v>
      </x:c>
      <x:c r="G16" s="23" t="n">
        <x:v>45.532269</x:v>
      </x:c>
      <x:c r="H16" s="23" t="n">
        <x:v>46.129279</x:v>
      </x:c>
      <x:c r="I16" s="23" t="n">
        <x:v>14.3606</x:v>
      </x:c>
      <x:c r="J16" s="24" t="n">
        <x:f>MEDIAN(C16:E16)</x:f>
        <x:v>26.636259</x:v>
      </x:c>
      <x:c r="K16" s="24" t="n">
        <x:f>MEDIAN(F16:H16)</x:f>
        <x:v>45.532269</x:v>
      </x:c>
      <x:c r="L16" s="2" t="str">
        <x:v>2020-10</x:v>
      </x:c>
      <x:c r="M16" s="2" t="str">
        <x:v>C1/C2</x:v>
      </x:c>
      <x:c r="N16" s="24" t="n">
        <x:f>B16</x:f>
        <x:v>35.187157</x:v>
      </x:c>
    </x:row>
    <x:row r="17" ht="24" customHeight="1">
      <x:c r="A17" s="39" t="n">
        <x:v>44165</x:v>
      </x:c>
      <x:c r="B17" s="23" t="n">
        <x:v>39.351684</x:v>
      </x:c>
      <x:c r="C17" s="23" t="n">
        <x:v>15.603573</x:v>
      </x:c>
      <x:c r="D17" s="23" t="n">
        <x:v>27.576725</x:v>
      </x:c>
      <x:c r="E17" s="23" t="n">
        <x:v>45.686614</x:v>
      </x:c>
      <x:c r="F17" s="23" t="n">
        <x:v>46.208377</x:v>
      </x:c>
      <x:c r="G17" s="23" t="n">
        <x:v>44.517219</x:v>
      </x:c>
      <x:c r="H17" s="23" t="n">
        <x:v>44.111123</x:v>
      </x:c>
      <x:c r="I17" s="23" t="n">
        <x:v>15.3109</x:v>
      </x:c>
      <x:c r="J17" s="24" t="n">
        <x:f>MEDIAN(C17:E17)</x:f>
        <x:v>27.576725</x:v>
      </x:c>
      <x:c r="K17" s="24" t="n">
        <x:f>MEDIAN(F17:H17)</x:f>
        <x:v>44.517219</x:v>
      </x:c>
      <x:c r="L17" s="2" t="str">
        <x:v>2020-11</x:v>
      </x:c>
      <x:c r="M17" s="2" t="str">
        <x:v>C1/C2</x:v>
      </x:c>
      <x:c r="N17" s="24" t="n">
        <x:f>B17</x:f>
        <x:v>39.351684</x:v>
      </x:c>
    </x:row>
    <x:row r="18" ht="24" customHeight="1">
      <x:c r="A18" s="39" t="n">
        <x:v>44196</x:v>
      </x:c>
      <x:c r="B18" s="23" t="n">
        <x:v>36.998245</x:v>
      </x:c>
      <x:c r="C18" s="23" t="n">
        <x:v>15.646907</x:v>
      </x:c>
      <x:c r="D18" s="23" t="n">
        <x:v>31.51157</x:v>
      </x:c>
      <x:c r="E18" s="23" t="n">
        <x:v>44.253212</x:v>
      </x:c>
      <x:c r="F18" s="23" t="n">
        <x:v>48.0114</x:v>
      </x:c>
      <x:c r="G18" s="23" t="n">
        <x:v>42.140533</x:v>
      </x:c>
      <x:c r="H18" s="23" t="n">
        <x:v>41.555311</x:v>
      </x:c>
      <x:c r="I18" s="23" t="n">
        <x:v>16.1215</x:v>
      </x:c>
      <x:c r="J18" s="24" t="n">
        <x:f>MEDIAN(C18:E18)</x:f>
        <x:v>31.51157</x:v>
      </x:c>
      <x:c r="K18" s="24" t="n">
        <x:f>MEDIAN(F18:H18)</x:f>
        <x:v>42.140533</x:v>
      </x:c>
      <x:c r="L18" s="2" t="str">
        <x:v>2020-12</x:v>
      </x:c>
      <x:c r="M18" s="2" t="str">
        <x:v>C1/C2</x:v>
      </x:c>
      <x:c r="N18" s="24" t="n">
        <x:f>B18</x:f>
        <x:v>36.998245</x:v>
      </x:c>
    </x:row>
    <x:row r="19" ht="24" customHeight="1">
      <x:c r="A19" s="39" t="n">
        <x:v>44225</x:v>
      </x:c>
      <x:c r="B19" s="23" t="n">
        <x:v>32.318733</x:v>
      </x:c>
      <x:c r="C19" s="23" t="n">
        <x:v>15.156137</x:v>
      </x:c>
      <x:c r="D19" s="23" t="n">
        <x:v>27.727479</x:v>
      </x:c>
      <x:c r="E19" s="23" t="n">
        <x:v>36.865425</x:v>
      </x:c>
      <x:c r="F19" s="23" t="n">
        <x:v>48.898752</x:v>
      </x:c>
      <x:c r="G19" s="23" t="n">
        <x:v>37.554993</x:v>
      </x:c>
      <x:c r="H19" s="23" t="n">
        <x:v>38.267042</x:v>
      </x:c>
      <x:c r="I19" s="23" t="n">
        <x:v>16.4051</x:v>
      </x:c>
      <x:c r="J19" s="24" t="n">
        <x:f>MEDIAN(C19:E19)</x:f>
        <x:v>27.727479</x:v>
      </x:c>
      <x:c r="K19" s="24" t="n">
        <x:f>MEDIAN(F19:H19)</x:f>
        <x:v>38.267042</x:v>
      </x:c>
      <x:c r="L19" s="2" t="str">
        <x:v>2021-01</x:v>
      </x:c>
      <x:c r="M19" s="2" t="str">
        <x:v>C1/C2</x:v>
      </x:c>
      <x:c r="N19" s="24" t="n">
        <x:f>B19</x:f>
        <x:v>32.318733</x:v>
      </x:c>
    </x:row>
    <x:row r="20" ht="24" customHeight="1">
      <x:c r="A20" s="39" t="n">
        <x:v>44253</x:v>
      </x:c>
      <x:c r="B20" s="23" t="n">
        <x:v>33.810157</x:v>
      </x:c>
      <x:c r="C20" s="23" t="n">
        <x:v>14.968491</x:v>
      </x:c>
      <x:c r="D20" s="23" t="n">
        <x:v>28.898745</x:v>
      </x:c>
      <x:c r="E20" s="23" t="n">
        <x:v>35.174687</x:v>
      </x:c>
      <x:c r="F20" s="23" t="n">
        <x:v>43.320159</x:v>
      </x:c>
      <x:c r="G20" s="23" t="n">
        <x:v>35.436357</x:v>
      </x:c>
      <x:c r="H20" s="23" t="n">
        <x:v>38.071116</x:v>
      </x:c>
      <x:c r="I20" s="23" t="n">
        <x:v>16.324</x:v>
      </x:c>
      <x:c r="J20" s="24" t="n">
        <x:f>MEDIAN(C20:E20)</x:f>
        <x:v>28.898745</x:v>
      </x:c>
      <x:c r="K20" s="24" t="n">
        <x:f>MEDIAN(F20:H20)</x:f>
        <x:v>38.071116</x:v>
      </x:c>
      <x:c r="L20" s="2" t="str">
        <x:v>2021-02</x:v>
      </x:c>
      <x:c r="M20" s="2" t="str">
        <x:v>C1/C2</x:v>
      </x:c>
      <x:c r="N20" s="24" t="n">
        <x:f>B20</x:f>
        <x:v>33.810157</x:v>
      </x:c>
    </x:row>
    <x:row r="21" ht="24" customHeight="1">
      <x:c r="A21" s="39" t="n">
        <x:v>44286</x:v>
      </x:c>
      <x:c r="B21" s="23" t="n">
        <x:v>32.717968</x:v>
      </x:c>
      <x:c r="C21" s="23" t="n">
        <x:v>15.43415</x:v>
      </x:c>
      <x:c r="D21" s="23" t="n">
        <x:v>27.614862</x:v>
      </x:c>
      <x:c r="E21" s="23" t="n">
        <x:v>33.814753</x:v>
      </x:c>
      <x:c r="F21" s="23" t="n">
        <x:v>29.584119</x:v>
      </x:c>
      <x:c r="G21" s="23" t="n">
        <x:v>32.243893</x:v>
      </x:c>
      <x:c r="H21" s="23" t="n">
        <x:v>35.167459</x:v>
      </x:c>
      <x:c r="I21" s="23" t="n">
        <x:v>15.1371</x:v>
      </x:c>
      <x:c r="J21" s="24" t="n">
        <x:f>MEDIAN(C21:E21)</x:f>
        <x:v>27.614862</x:v>
      </x:c>
      <x:c r="K21" s="24" t="n">
        <x:f>MEDIAN(F21:H21)</x:f>
        <x:v>32.243893</x:v>
      </x:c>
      <x:c r="L21" s="2" t="str">
        <x:v>2021-03</x:v>
      </x:c>
      <x:c r="M21" s="2" t="str">
        <x:v>C1/C2</x:v>
      </x:c>
      <x:c r="N21" s="24" t="n">
        <x:f>B21</x:f>
        <x:v>32.717968</x:v>
      </x:c>
    </x:row>
    <x:row r="22" ht="24" customHeight="1">
      <x:c r="A22" s="39" t="n">
        <x:v>44316</x:v>
      </x:c>
      <x:c r="B22" s="23" t="n">
        <x:v>27.271035</x:v>
      </x:c>
      <x:c r="C22" s="23" t="n">
        <x:v>12.985125</x:v>
      </x:c>
      <x:c r="D22" s="23" t="n">
        <x:v>25.017809</x:v>
      </x:c>
      <x:c r="E22" s="23" t="n">
        <x:v>62.604476</x:v>
      </x:c>
      <x:c r="F22" s="23" t="n">
        <x:v>28.870323</x:v>
      </x:c>
      <x:c r="G22" s="23" t="n">
        <x:v>24.83861</x:v>
      </x:c>
      <x:c r="H22" s="23" t="n">
        <x:v>30.52496</x:v>
      </x:c>
      <x:c r="I22" s="23" t="n">
        <x:v>13.978</x:v>
      </x:c>
      <x:c r="J22" s="24" t="n">
        <x:f>MEDIAN(C22:E22)</x:f>
        <x:v>25.017809</x:v>
      </x:c>
      <x:c r="K22" s="24" t="n">
        <x:f>MEDIAN(F22:H22)</x:f>
        <x:v>28.870323</x:v>
      </x:c>
      <x:c r="L22" s="2" t="str">
        <x:v>2021-04</x:v>
      </x:c>
      <x:c r="M22" s="2" t="str">
        <x:v>C1/C2</x:v>
      </x:c>
      <x:c r="N22" s="24" t="n">
        <x:f>B22</x:f>
        <x:v>27.271035</x:v>
      </x:c>
    </x:row>
    <x:row r="23" ht="24" customHeight="1">
      <x:c r="A23" s="39" t="n">
        <x:v>44347</x:v>
      </x:c>
      <x:c r="B23" s="23" t="n">
        <x:v>29.573445</x:v>
      </x:c>
      <x:c r="C23" s="23" t="n">
        <x:v>13.467938</x:v>
      </x:c>
      <x:c r="D23" s="23" t="n">
        <x:v>25.623253</x:v>
      </x:c>
      <x:c r="E23" s="23" t="n">
        <x:v>63.446217</x:v>
      </x:c>
      <x:c r="F23" s="23" t="n">
        <x:v>34.760848</x:v>
      </x:c>
      <x:c r="G23" s="23" t="n">
        <x:v>27.631147</x:v>
      </x:c>
      <x:c r="H23" s="23" t="n">
        <x:v>33.749428</x:v>
      </x:c>
      <x:c r="I23" s="23" t="n">
        <x:v>14.5611</x:v>
      </x:c>
      <x:c r="J23" s="24" t="n">
        <x:f>MEDIAN(C23:E23)</x:f>
        <x:v>25.623253</x:v>
      </x:c>
      <x:c r="K23" s="24" t="n">
        <x:f>MEDIAN(F23:H23)</x:f>
        <x:v>33.749428</x:v>
      </x:c>
      <x:c r="L23" s="2" t="str">
        <x:v>2021-05</x:v>
      </x:c>
      <x:c r="M23" s="2" t="str">
        <x:v>C1/C2</x:v>
      </x:c>
      <x:c r="N23" s="24" t="n">
        <x:f>B23</x:f>
        <x:v>29.573445</x:v>
      </x:c>
    </x:row>
    <x:row r="24" ht="24" customHeight="1">
      <x:c r="A24" s="39" t="n">
        <x:v>44377</x:v>
      </x:c>
      <x:c r="B24" s="23" t="n">
        <x:v>29.060473</x:v>
      </x:c>
      <x:c r="C24" s="23" t="n">
        <x:v>12.705626</x:v>
      </x:c>
      <x:c r="D24" s="23" t="n">
        <x:v>24.650233</x:v>
      </x:c>
      <x:c r="E24" s="23" t="n">
        <x:v>65.340167</x:v>
      </x:c>
      <x:c r="F24" s="23" t="n">
        <x:v>32.507595</x:v>
      </x:c>
      <x:c r="G24" s="23" t="n">
        <x:v>27.474786</x:v>
      </x:c>
      <x:c r="H24" s="23" t="n">
        <x:v>32.657408</x:v>
      </x:c>
      <x:c r="I24" s="23" t="n">
        <x:v>14.7766</x:v>
      </x:c>
      <x:c r="J24" s="24" t="n">
        <x:f>MEDIAN(C24:E24)</x:f>
        <x:v>24.650233</x:v>
      </x:c>
      <x:c r="K24" s="24" t="n">
        <x:f>MEDIAN(F24:H24)</x:f>
        <x:v>32.507595</x:v>
      </x:c>
      <x:c r="L24" s="2" t="str">
        <x:v>2021-06</x:v>
      </x:c>
      <x:c r="M24" s="2" t="str">
        <x:v>C1/C2</x:v>
      </x:c>
      <x:c r="N24" s="24" t="n">
        <x:f>B24</x:f>
        <x:v>29.060473</x:v>
      </x:c>
    </x:row>
    <x:row r="25" ht="24" customHeight="1">
      <x:c r="A25" s="39" t="n">
        <x:v>44407</x:v>
      </x:c>
      <x:c r="B25" s="23" t="n">
        <x:v>30.718686</x:v>
      </x:c>
      <x:c r="C25" s="23" t="n">
        <x:v>9.656276</x:v>
      </x:c>
      <x:c r="D25" s="23" t="n">
        <x:v>27.56934</x:v>
      </x:c>
      <x:c r="E25" s="23" t="n">
        <x:v>69.689174</x:v>
      </x:c>
      <x:c r="F25" s="23" t="n">
        <x:v>36.009842</x:v>
      </x:c>
      <x:c r="G25" s="23" t="n">
        <x:v>30.624335</x:v>
      </x:c>
      <x:c r="H25" s="23" t="n">
        <x:v>43.865658</x:v>
      </x:c>
      <x:c r="I25" s="23" t="n">
        <x:v>13.5228</x:v>
      </x:c>
      <x:c r="J25" s="24" t="n">
        <x:f>MEDIAN(C25:E25)</x:f>
        <x:v>27.56934</x:v>
      </x:c>
      <x:c r="K25" s="24" t="n">
        <x:f>MEDIAN(F25:H25)</x:f>
        <x:v>36.009842</x:v>
      </x:c>
      <x:c r="L25" s="2" t="str">
        <x:v>2021-07</x:v>
      </x:c>
      <x:c r="M25" s="2" t="str">
        <x:v>C1/C2</x:v>
      </x:c>
      <x:c r="N25" s="24" t="n">
        <x:f>B25</x:f>
        <x:v>30.718686</x:v>
      </x:c>
    </x:row>
    <x:row r="26" ht="24" customHeight="1">
      <x:c r="A26" s="39" t="n">
        <x:v>44439</x:v>
      </x:c>
      <x:c r="B26" s="23" t="n">
        <x:v>25.610656</x:v>
      </x:c>
      <x:c r="C26" s="23" t="n">
        <x:v>17.282524</x:v>
      </x:c>
      <x:c r="D26" s="23" t="n">
        <x:v>22.40243</x:v>
      </x:c>
      <x:c r="E26" s="23" t="n">
        <x:v>104.560741</x:v>
      </x:c>
      <x:c r="F26" s="23" t="n">
        <x:v>30.023905</x:v>
      </x:c>
      <x:c r="G26" s="23" t="n">
        <x:v>29.051223</x:v>
      </x:c>
      <x:c r="H26" s="23" t="n">
        <x:v>35.319888</x:v>
      </x:c>
      <x:c r="I26" s="23" t="n">
        <x:v>12.8872</x:v>
      </x:c>
      <x:c r="J26" s="24" t="n">
        <x:f>MEDIAN(C26:E26)</x:f>
        <x:v>22.40243</x:v>
      </x:c>
      <x:c r="K26" s="24" t="n">
        <x:f>MEDIAN(F26:H26)</x:f>
        <x:v>30.023905</x:v>
      </x:c>
      <x:c r="L26" s="2" t="str">
        <x:v>2021-08</x:v>
      </x:c>
      <x:c r="M26" s="2" t="str">
        <x:v>C1/C2</x:v>
      </x:c>
      <x:c r="N26" s="24" t="n">
        <x:f>B26</x:f>
        <x:v>25.610656</x:v>
      </x:c>
    </x:row>
    <x:row r="27" ht="24" customHeight="1">
      <x:c r="A27" s="39" t="n">
        <x:v>44469</x:v>
      </x:c>
      <x:c r="B27" s="23" t="n">
        <x:v>27.773954</x:v>
      </x:c>
      <x:c r="C27" s="23" t="n">
        <x:v>19.344646</x:v>
      </x:c>
      <x:c r="D27" s="23" t="n">
        <x:v>25.278327</x:v>
      </x:c>
      <x:c r="E27" s="23" t="n">
        <x:v>101.455012</x:v>
      </x:c>
      <x:c r="F27" s="23" t="n">
        <x:v>29.566172</x:v>
      </x:c>
      <x:c r="G27" s="23" t="n">
        <x:v>27.466162</x:v>
      </x:c>
      <x:c r="H27" s="23" t="n">
        <x:v>32.955376</x:v>
      </x:c>
      <x:c r="I27" s="23" t="n">
        <x:v>13.1027</x:v>
      </x:c>
      <x:c r="J27" s="24" t="n">
        <x:f>MEDIAN(C27:E27)</x:f>
        <x:v>25.278327</x:v>
      </x:c>
      <x:c r="K27" s="24" t="n">
        <x:f>MEDIAN(F27:H27)</x:f>
        <x:v>29.566172</x:v>
      </x:c>
      <x:c r="L27" s="2" t="str">
        <x:v>2021-09</x:v>
      </x:c>
      <x:c r="M27" s="2" t="str">
        <x:v>C1/C2</x:v>
      </x:c>
      <x:c r="N27" s="24" t="n">
        <x:f>B27</x:f>
        <x:v>27.773954</x:v>
      </x:c>
    </x:row>
    <x:row r="28" ht="24" customHeight="1">
      <x:c r="A28" s="39" t="n">
        <x:v>44498</x:v>
      </x:c>
      <x:c r="B28" s="23" t="n">
        <x:v>30.804565</x:v>
      </x:c>
      <x:c r="C28" s="23" t="n">
        <x:v>21.491689</x:v>
      </x:c>
      <x:c r="D28" s="23" t="n">
        <x:v>23.879607</x:v>
      </x:c>
      <x:c r="E28" s="23" t="n">
        <x:v>179.210394</x:v>
      </x:c>
      <x:c r="F28" s="23" t="n">
        <x:v>28.556535</x:v>
      </x:c>
      <x:c r="G28" s="23" t="n">
        <x:v>27.353293</x:v>
      </x:c>
      <x:c r="H28" s="23" t="n">
        <x:v>36.080487</x:v>
      </x:c>
      <x:c r="I28" s="23" t="n">
        <x:v>13.3127</x:v>
      </x:c>
      <x:c r="J28" s="24" t="n">
        <x:f>MEDIAN(C28:E28)</x:f>
        <x:v>23.879607</x:v>
      </x:c>
      <x:c r="K28" s="24" t="n">
        <x:f>MEDIAN(F28:H28)</x:f>
        <x:v>28.556535</x:v>
      </x:c>
      <x:c r="L28" s="2" t="str">
        <x:v>2021-10</x:v>
      </x:c>
      <x:c r="M28" s="2" t="str">
        <x:v>C1/C2</x:v>
      </x:c>
      <x:c r="N28" s="24" t="n">
        <x:f>B28</x:f>
        <x:v>30.804565</x:v>
      </x:c>
    </x:row>
    <x:row r="29" ht="24" customHeight="1">
      <x:c r="A29" s="39" t="n">
        <x:v>44530</x:v>
      </x:c>
      <x:c r="B29" s="23" t="n">
        <x:v>35.330065</x:v>
      </x:c>
      <x:c r="C29" s="23" t="n">
        <x:v>48.142866</x:v>
      </x:c>
      <x:c r="D29" s="23" t="n">
        <x:v>25.890521</x:v>
      </x:c>
      <x:c r="E29" s="23" t="n">
        <x:v>184.618949</x:v>
      </x:c>
      <x:c r="F29" s="23" t="n">
        <x:v>36.956839</x:v>
      </x:c>
      <x:c r="G29" s="23" t="n">
        <x:v>29.383666</x:v>
      </x:c>
      <x:c r="H29" s="23" t="n">
        <x:v>46.771002</x:v>
      </x:c>
      <x:c r="I29" s="23" t="n">
        <x:v>12.9589</x:v>
      </x:c>
      <x:c r="J29" s="24" t="n">
        <x:f>MEDIAN(C29:E29)</x:f>
        <x:v>48.142866</x:v>
      </x:c>
      <x:c r="K29" s="24" t="n">
        <x:f>MEDIAN(F29:H29)</x:f>
        <x:v>36.956839</x:v>
      </x:c>
      <x:c r="L29" s="2" t="str">
        <x:v>2021-11</x:v>
      </x:c>
      <x:c r="M29" s="2" t="str">
        <x:v>C1/C2</x:v>
      </x:c>
      <x:c r="N29" s="24" t="n">
        <x:f>B29</x:f>
        <x:v>35.330065</x:v>
      </x:c>
    </x:row>
    <x:row r="30" ht="24" customHeight="1">
      <x:c r="A30" s="39" t="n">
        <x:v>44561</x:v>
      </x:c>
      <x:c r="B30" s="23" t="n">
        <x:v>35.351661</x:v>
      </x:c>
      <x:c r="C30" s="23" t="n">
        <x:v>48.915258</x:v>
      </x:c>
      <x:c r="D30" s="23" t="n">
        <x:v>23.754083</x:v>
      </x:c>
      <x:c r="E30" s="23" t="n">
        <x:v>196.313217</x:v>
      </x:c>
      <x:c r="F30" s="23" t="n">
        <x:v>41.181585</x:v>
      </x:c>
      <x:c r="G30" s="23" t="n">
        <x:v>29.353596</x:v>
      </x:c>
      <x:c r="H30" s="23" t="n">
        <x:v>51.619718</x:v>
      </x:c>
      <x:c r="I30" s="23" t="n">
        <x:v>14.0314</x:v>
      </x:c>
      <x:c r="J30" s="24" t="n">
        <x:f>MEDIAN(C30:E30)</x:f>
        <x:v>48.915258</x:v>
      </x:c>
      <x:c r="K30" s="24" t="n">
        <x:f>MEDIAN(F30:H30)</x:f>
        <x:v>41.181585</x:v>
      </x:c>
      <x:c r="L30" s="2" t="str">
        <x:v>2021-12</x:v>
      </x:c>
      <x:c r="M30" s="2" t="str">
        <x:v>C1/C2</x:v>
      </x:c>
      <x:c r="N30" s="24" t="n">
        <x:f>B30</x:f>
        <x:v>35.351661</x:v>
      </x:c>
    </x:row>
    <x:row r="31" ht="24" customHeight="1">
      <x:c r="A31" s="39" t="n">
        <x:v>44589</x:v>
      </x:c>
      <x:c r="B31" s="23" t="n">
        <x:v>30.643865</x:v>
      </x:c>
      <x:c r="C31" s="23" t="n">
        <x:v>47.934645</x:v>
      </x:c>
      <x:c r="D31" s="23" t="n">
        <x:v>22.057363</x:v>
      </x:c>
      <x:c r="E31" s="23" t="n">
        <x:v>178.51619</x:v>
      </x:c>
      <x:c r="F31" s="23" t="n">
        <x:v>34.689429</x:v>
      </x:c>
      <x:c r="G31" s="23" t="n">
        <x:v>25.219642</x:v>
      </x:c>
      <x:c r="H31" s="23" t="n">
        <x:v>47.60015</x:v>
      </x:c>
      <x:c r="I31" s="23" t="n">
        <x:v>13.0701</x:v>
      </x:c>
      <x:c r="J31" s="24" t="n">
        <x:f>MEDIAN(C31:E31)</x:f>
        <x:v>47.934645</x:v>
      </x:c>
      <x:c r="K31" s="24" t="n">
        <x:f>MEDIAN(F31:H31)</x:f>
        <x:v>34.689429</x:v>
      </x:c>
      <x:c r="L31" s="2" t="str">
        <x:v>2022-01</x:v>
      </x:c>
      <x:c r="M31" s="2" t="str">
        <x:v>C1/C2</x:v>
      </x:c>
      <x:c r="N31" s="24" t="n">
        <x:f>B31</x:f>
        <x:v>30.643865</x:v>
      </x:c>
    </x:row>
    <x:row r="32" ht="24" customHeight="1">
      <x:c r="A32" s="39" t="n">
        <x:v>44620</x:v>
      </x:c>
      <x:c r="B32" s="23" t="n">
        <x:v>34.498643</x:v>
      </x:c>
      <x:c r="C32" s="23" t="n">
        <x:v>53.962528</x:v>
      </x:c>
      <x:c r="D32" s="23" t="n">
        <x:v>23.219935</x:v>
      </x:c>
      <x:c r="E32" s="23" t="n">
        <x:v>187.796848</x:v>
      </x:c>
      <x:c r="F32" s="23" t="n">
        <x:v>35.151009</x:v>
      </x:c>
      <x:c r="G32" s="23" t="n">
        <x:v>27.248808</x:v>
      </x:c>
      <x:c r="H32" s="23" t="n">
        <x:v>43.450621</x:v>
      </x:c>
      <x:c r="I32" s="23" t="n">
        <x:v>13.2163</x:v>
      </x:c>
      <x:c r="J32" s="24" t="n">
        <x:f>MEDIAN(C32:E32)</x:f>
        <x:v>53.962528</x:v>
      </x:c>
      <x:c r="K32" s="24" t="n">
        <x:f>MEDIAN(F32:H32)</x:f>
        <x:v>35.151009</x:v>
      </x:c>
      <x:c r="L32" s="2" t="str">
        <x:v>2022-02</x:v>
      </x:c>
      <x:c r="M32" s="2" t="str">
        <x:v>C1/C2</x:v>
      </x:c>
      <x:c r="N32" s="24" t="n">
        <x:f>B32</x:f>
        <x:v>34.498643</x:v>
      </x:c>
    </x:row>
    <x:row r="33" ht="24" customHeight="1">
      <x:c r="A33" s="39" t="n">
        <x:v>44651</x:v>
      </x:c>
      <x:c r="B33" s="23" t="n">
        <x:v>28.679255</x:v>
      </x:c>
      <x:c r="C33" s="23" t="n">
        <x:v>49.030624</x:v>
      </x:c>
      <x:c r="D33" s="23" t="n">
        <x:v>20.376366</x:v>
      </x:c>
      <x:c r="E33" s="23" t="n">
        <x:v>165.19574</x:v>
      </x:c>
      <x:c r="F33" s="23" t="n">
        <x:v>28.897877</x:v>
      </x:c>
      <x:c r="G33" s="23" t="n">
        <x:v>22.787163</x:v>
      </x:c>
      <x:c r="H33" s="23" t="n">
        <x:v>34.919048</x:v>
      </x:c>
      <x:c r="I33" s="23" t="n">
        <x:v>12.3512</x:v>
      </x:c>
      <x:c r="J33" s="24" t="n">
        <x:f>MEDIAN(C33:E33)</x:f>
        <x:v>49.030624</x:v>
      </x:c>
      <x:c r="K33" s="24" t="n">
        <x:f>MEDIAN(F33:H33)</x:f>
        <x:v>28.897877</x:v>
      </x:c>
      <x:c r="L33" s="2" t="str">
        <x:v>2022-03</x:v>
      </x:c>
      <x:c r="M33" s="2" t="str">
        <x:v>C1/C2</x:v>
      </x:c>
      <x:c r="N33" s="24" t="n">
        <x:f>B33</x:f>
        <x:v>28.679255</x:v>
      </x:c>
    </x:row>
    <x:row r="34" ht="24" customHeight="1">
      <x:c r="A34" s="39" t="n">
        <x:v>44680</x:v>
      </x:c>
      <x:c r="B34" s="23" t="n">
        <x:v>24.22921</x:v>
      </x:c>
      <x:c r="C34" s="23" t="n">
        <x:v>47.155924</x:v>
      </x:c>
      <x:c r="D34" s="23" t="n">
        <x:v>15.735424</x:v>
      </x:c>
      <x:c r="E34" s="23" t="n">
        <x:v>55.395461</x:v>
      </x:c>
      <x:c r="F34" s="23" t="n">
        <x:v>25.47094</x:v>
      </x:c>
      <x:c r="G34" s="23" t="n">
        <x:v>18.200282</x:v>
      </x:c>
      <x:c r="H34" s="23" t="n">
        <x:v>26.835747</x:v>
      </x:c>
      <x:c r="I34" s="23" t="n">
        <x:v>11.8565</x:v>
      </x:c>
      <x:c r="J34" s="24" t="n">
        <x:f>MEDIAN(C34:E34)</x:f>
        <x:v>47.155924</x:v>
      </x:c>
      <x:c r="K34" s="24" t="n">
        <x:f>MEDIAN(F34:H34)</x:f>
        <x:v>25.47094</x:v>
      </x:c>
      <x:c r="L34" s="2" t="str">
        <x:v>2022-04</x:v>
      </x:c>
      <x:c r="M34" s="2" t="str">
        <x:v>C1/C2</x:v>
      </x:c>
      <x:c r="N34" s="24" t="n">
        <x:f>B34</x:f>
        <x:v>24.22921</x:v>
      </x:c>
    </x:row>
    <x:row r="35" ht="24" customHeight="1">
      <x:c r="A35" s="39" t="n">
        <x:v>44712</x:v>
      </x:c>
      <x:c r="B35" s="23" t="n">
        <x:v>25.201819</x:v>
      </x:c>
      <x:c r="C35" s="23" t="n">
        <x:v>90.2496</x:v>
      </x:c>
      <x:c r="D35" s="23" t="n">
        <x:v>19.100623</x:v>
      </x:c>
      <x:c r="E35" s="23" t="n">
        <x:v>57.71839</x:v>
      </x:c>
      <x:c r="F35" s="23" t="n">
        <x:v>26.735337</x:v>
      </x:c>
      <x:c r="G35" s="23" t="n">
        <x:v>19.686759</x:v>
      </x:c>
      <x:c r="H35" s="23" t="n">
        <x:v>32.799247</x:v>
      </x:c>
      <x:c r="I35" s="23" t="n">
        <x:v>12.2062</x:v>
      </x:c>
      <x:c r="J35" s="24" t="n">
        <x:f>MEDIAN(C35:E35)</x:f>
        <x:v>57.71839</x:v>
      </x:c>
      <x:c r="K35" s="24" t="n">
        <x:f>MEDIAN(F35:H35)</x:f>
        <x:v>26.735337</x:v>
      </x:c>
      <x:c r="L35" s="2" t="str">
        <x:v>2022-05</x:v>
      </x:c>
      <x:c r="M35" s="2" t="str">
        <x:v>C1/C2</x:v>
      </x:c>
      <x:c r="N35" s="24" t="n">
        <x:f>B35</x:f>
        <x:v>25.201819</x:v>
      </x:c>
    </x:row>
    <x:row r="36" ht="24" customHeight="1">
      <x:c r="A36" s="39" t="n">
        <x:v>44742</x:v>
      </x:c>
      <x:c r="B36" s="23" t="n">
        <x:v>28.315416</x:v>
      </x:c>
      <x:c r="C36" s="23" t="n">
        <x:v>113.611213</x:v>
      </x:c>
      <x:c r="D36" s="23" t="n">
        <x:v>22.652782</x:v>
      </x:c>
      <x:c r="E36" s="23" t="n">
        <x:v>59.106253</x:v>
      </x:c>
      <x:c r="F36" s="23" t="n">
        <x:v>25.828631</x:v>
      </x:c>
      <x:c r="G36" s="23" t="n">
        <x:v>21.245747</x:v>
      </x:c>
      <x:c r="H36" s="23" t="n">
        <x:v>33.319123</x:v>
      </x:c>
      <x:c r="I36" s="23" t="n">
        <x:v>12.9961</x:v>
      </x:c>
      <x:c r="J36" s="24" t="n">
        <x:f>MEDIAN(C36:E36)</x:f>
        <x:v>59.106253</x:v>
      </x:c>
      <x:c r="K36" s="24" t="n">
        <x:f>MEDIAN(F36:H36)</x:f>
        <x:v>25.828631</x:v>
      </x:c>
      <x:c r="L36" s="2" t="str">
        <x:v>2022-06</x:v>
      </x:c>
      <x:c r="M36" s="2" t="str">
        <x:v>C1/C2</x:v>
      </x:c>
      <x:c r="N36" s="24" t="n">
        <x:f>B36</x:f>
        <x:v>28.315416</x:v>
      </x:c>
    </x:row>
    <x:row r="37" ht="24" customHeight="1">
      <x:c r="A37" s="39" t="n">
        <x:v>44771</x:v>
      </x:c>
      <x:c r="B37" s="23" t="n">
        <x:v>30.265992</x:v>
      </x:c>
      <x:c r="C37" s="23" t="n">
        <x:v>113.11939</x:v>
      </x:c>
      <x:c r="D37" s="23" t="n">
        <x:v>24.366542</x:v>
      </x:c>
      <x:c r="E37" s="23" t="n">
        <x:v>58.942976</x:v>
      </x:c>
      <x:c r="F37" s="23" t="n">
        <x:v>27.276033</x:v>
      </x:c>
      <x:c r="G37" s="23" t="n">
        <x:v>21.499536</x:v>
      </x:c>
      <x:c r="H37" s="23" t="n">
        <x:v>36.253778</x:v>
      </x:c>
      <x:c r="I37" s="23" t="n">
        <x:v>12.1096</x:v>
      </x:c>
      <x:c r="J37" s="24" t="n">
        <x:f>MEDIAN(C37:E37)</x:f>
        <x:v>58.942976</x:v>
      </x:c>
      <x:c r="K37" s="24" t="n">
        <x:f>MEDIAN(F37:H37)</x:f>
        <x:v>27.276033</x:v>
      </x:c>
      <x:c r="L37" s="2" t="str">
        <x:v>2022-07</x:v>
      </x:c>
      <x:c r="M37" s="2" t="str">
        <x:v>C1/C2</x:v>
      </x:c>
      <x:c r="N37" s="24" t="n">
        <x:f>B37</x:f>
        <x:v>30.265992</x:v>
      </x:c>
    </x:row>
    <x:row r="38" ht="24" customHeight="1">
      <x:c r="A38" s="39" t="n">
        <x:v>44804</x:v>
      </x:c>
      <x:c r="B38" s="23" t="n">
        <x:v>39.615207</x:v>
      </x:c>
      <x:c r="C38" s="23" t="n">
        <x:v>43.516428</x:v>
      </x:c>
      <x:c r="D38" s="23" t="n">
        <x:v>24.460327</x:v>
      </x:c>
      <x:c r="E38" s="23" t="n">
        <x:v>54.477609</x:v>
      </x:c>
      <x:c r="F38" s="23" t="n">
        <x:v>22.793995</x:v>
      </x:c>
      <x:c r="G38" s="23" t="n">
        <x:v>20.983425</x:v>
      </x:c>
      <x:c r="H38" s="23" t="n">
        <x:v>34.867856</x:v>
      </x:c>
      <x:c r="I38" s="23" t="n">
        <x:v>11.8103</x:v>
      </x:c>
      <x:c r="J38" s="24" t="n">
        <x:f>MEDIAN(C38:E38)</x:f>
        <x:v>43.516428</x:v>
      </x:c>
      <x:c r="K38" s="24" t="n">
        <x:f>MEDIAN(F38:H38)</x:f>
        <x:v>22.793995</x:v>
      </x:c>
      <x:c r="L38" s="2" t="str">
        <x:v>2022-08</x:v>
      </x:c>
      <x:c r="M38" s="2" t="str">
        <x:v>C1/C2</x:v>
      </x:c>
      <x:c r="N38" s="24" t="n">
        <x:f>B38</x:f>
        <x:v>39.615207</x:v>
      </x:c>
    </x:row>
    <x:row r="39" ht="24" customHeight="1">
      <x:c r="A39" s="39" t="n">
        <x:v>44834</x:v>
      </x:c>
      <x:c r="B39" s="23" t="n">
        <x:v>42.286346</x:v>
      </x:c>
      <x:c r="C39" s="23" t="n">
        <x:v>43.92696</x:v>
      </x:c>
      <x:c r="D39" s="23" t="n">
        <x:v>26.451498</x:v>
      </x:c>
      <x:c r="E39" s="23" t="n">
        <x:v>47.01961</x:v>
      </x:c>
      <x:c r="F39" s="23" t="n">
        <x:v>20.308043</x:v>
      </x:c>
      <x:c r="G39" s="23" t="n">
        <x:v>18.10522</x:v>
      </x:c>
      <x:c r="H39" s="23" t="n">
        <x:v>30.520874</x:v>
      </x:c>
      <x:c r="I39" s="23" t="n">
        <x:v>11.2215</x:v>
      </x:c>
      <x:c r="J39" s="24" t="n">
        <x:f>MEDIAN(C39:E39)</x:f>
        <x:v>43.92696</x:v>
      </x:c>
      <x:c r="K39" s="24" t="n">
        <x:f>MEDIAN(F39:H39)</x:f>
        <x:v>20.308043</x:v>
      </x:c>
      <x:c r="L39" s="2" t="str">
        <x:v>2022-09</x:v>
      </x:c>
      <x:c r="M39" s="2" t="str">
        <x:v>C1/C2</x:v>
      </x:c>
      <x:c r="N39" s="24" t="n">
        <x:f>B39</x:f>
        <x:v>42.286346</x:v>
      </x:c>
    </x:row>
    <x:row r="40" ht="24" customHeight="1">
      <x:c r="A40" s="39" t="n">
        <x:v>44865</x:v>
      </x:c>
      <x:c r="B40" s="23" t="n">
        <x:v>32.247722</x:v>
      </x:c>
      <x:c r="C40" s="23" t="n">
        <x:v>34.904536</x:v>
      </x:c>
      <x:c r="D40" s="23" t="n">
        <x:v>29.830944</x:v>
      </x:c>
      <x:c r="E40" s="23" t="n">
        <x:v>53.552107</x:v>
      </x:c>
      <x:c r="F40" s="23" t="n">
        <x:v>20.055172</x:v>
      </x:c>
      <x:c r="G40" s="23" t="n">
        <x:v>19.716755</x:v>
      </x:c>
      <x:c r="H40" s="23" t="n">
        <x:v>29.814283</x:v>
      </x:c>
      <x:c r="I40" s="23" t="n">
        <x:v>10.3057</x:v>
      </x:c>
      <x:c r="J40" s="24" t="n">
        <x:f>MEDIAN(C40:E40)</x:f>
        <x:v>34.904536</x:v>
      </x:c>
      <x:c r="K40" s="24" t="n">
        <x:f>MEDIAN(F40:H40)</x:f>
        <x:v>20.055172</x:v>
      </x:c>
      <x:c r="L40" s="2" t="str">
        <x:v>2022-10</x:v>
      </x:c>
      <x:c r="M40" s="2" t="str">
        <x:v>C1/C2</x:v>
      </x:c>
      <x:c r="N40" s="24" t="n">
        <x:f>B40</x:f>
        <x:v>32.247722</x:v>
      </x:c>
    </x:row>
    <x:row r="41" ht="24" customHeight="1">
      <x:c r="A41" s="39" t="n">
        <x:v>44895</x:v>
      </x:c>
      <x:c r="B41" s="23" t="n">
        <x:v>25.707507</x:v>
      </x:c>
      <x:c r="C41" s="23" t="n">
        <x:v>26.516009</x:v>
      </x:c>
      <x:c r="D41" s="23" t="n">
        <x:v>25.620863</x:v>
      </x:c>
      <x:c r="E41" s="23" t="n">
        <x:v>53.145733</x:v>
      </x:c>
      <x:c r="F41" s="23" t="n">
        <x:v>19.609958</x:v>
      </x:c>
      <x:c r="G41" s="23" t="n">
        <x:v>19.612372</x:v>
      </x:c>
      <x:c r="H41" s="23" t="n">
        <x:v>27.280774</x:v>
      </x:c>
      <x:c r="I41" s="23" t="n">
        <x:v>11.3225</x:v>
      </x:c>
      <x:c r="J41" s="24" t="n">
        <x:f>MEDIAN(C41:E41)</x:f>
        <x:v>26.516009</x:v>
      </x:c>
      <x:c r="K41" s="24" t="n">
        <x:f>MEDIAN(F41:H41)</x:f>
        <x:v>19.612372</x:v>
      </x:c>
      <x:c r="L41" s="2" t="str">
        <x:v>2022-11</x:v>
      </x:c>
      <x:c r="M41" s="2" t="str">
        <x:v>C1/C2</x:v>
      </x:c>
      <x:c r="N41" s="24" t="n">
        <x:f>B41</x:f>
        <x:v>25.707507</x:v>
      </x:c>
    </x:row>
    <x:row r="42" ht="24" customHeight="1">
      <x:c r="A42" s="39" t="n">
        <x:v>44925</x:v>
      </x:c>
      <x:c r="B42" s="23" t="n">
        <x:v>24.250822</x:v>
      </x:c>
      <x:c r="C42" s="23" t="n">
        <x:v>25.658091</x:v>
      </x:c>
      <x:c r="D42" s="23" t="n">
        <x:v>24.119894</x:v>
      </x:c>
      <x:c r="E42" s="23" t="n">
        <x:v>51.010587</x:v>
      </x:c>
      <x:c r="F42" s="23" t="n">
        <x:v>18.514047</x:v>
      </x:c>
      <x:c r="G42" s="23" t="n">
        <x:v>18.200031</x:v>
      </x:c>
      <x:c r="H42" s="23" t="n">
        <x:v>26.951193</x:v>
      </x:c>
      <x:c r="I42" s="23" t="n">
        <x:v>11.3418</x:v>
      </x:c>
      <x:c r="J42" s="24" t="n">
        <x:f>MEDIAN(C42:E42)</x:f>
        <x:v>25.658091</x:v>
      </x:c>
      <x:c r="K42" s="24" t="n">
        <x:f>MEDIAN(F42:H42)</x:f>
        <x:v>18.514047</x:v>
      </x:c>
      <x:c r="L42" s="2" t="str">
        <x:v>2022-12</x:v>
      </x:c>
      <x:c r="M42" s="2" t="str">
        <x:v>C1/C2</x:v>
      </x:c>
      <x:c r="N42" s="24" t="n">
        <x:f>B42</x:f>
        <x:v>24.250822</x:v>
      </x:c>
    </x:row>
    <x:row r="43" ht="24" customHeight="1">
      <x:c r="A43" s="39" t="n">
        <x:v>44957</x:v>
      </x:c>
      <x:c r="B43" s="23" t="n">
        <x:v>26.354096</x:v>
      </x:c>
      <x:c r="C43" s="23" t="n">
        <x:v>25.975838</x:v>
      </x:c>
      <x:c r="D43" s="23" t="n">
        <x:v>24.824592</x:v>
      </x:c>
      <x:c r="E43" s="23" t="n">
        <x:v>54.543284</x:v>
      </x:c>
      <x:c r="F43" s="23" t="n">
        <x:v>19.931882</x:v>
      </x:c>
      <x:c r="G43" s="23" t="n">
        <x:v>20.11034</x:v>
      </x:c>
      <x:c r="H43" s="23" t="n">
        <x:v>28.075837</x:v>
      </x:c>
      <x:c r="I43" s="23" t="n">
        <x:v>12.0486</x:v>
      </x:c>
      <x:c r="J43" s="24" t="n">
        <x:f>MEDIAN(C43:E43)</x:f>
        <x:v>25.975838</x:v>
      </x:c>
      <x:c r="K43" s="24" t="n">
        <x:f>MEDIAN(F43:H43)</x:f>
        <x:v>20.11034</x:v>
      </x:c>
      <x:c r="L43" s="2" t="str">
        <x:v>2023-01</x:v>
      </x:c>
      <x:c r="M43" s="2" t="str">
        <x:v>C1/C2</x:v>
      </x:c>
      <x:c r="N43" s="24" t="n">
        <x:f>B43</x:f>
        <x:v>26.354096</x:v>
      </x:c>
    </x:row>
    <x:row r="44" ht="24" customHeight="1">
      <x:c r="A44" s="39" t="n">
        <x:v>44985</x:v>
      </x:c>
      <x:c r="B44" s="23" t="n">
        <x:v>27.409449</x:v>
      </x:c>
      <x:c r="C44" s="23" t="n">
        <x:v>25.515105</x:v>
      </x:c>
      <x:c r="D44" s="23" t="n">
        <x:v>23.59137</x:v>
      </x:c>
      <x:c r="E44" s="23" t="n">
        <x:v>64.753165</x:v>
      </x:c>
      <x:c r="F44" s="23" t="n">
        <x:v>23.007287</x:v>
      </x:c>
      <x:c r="G44" s="23" t="n">
        <x:v>25.852843</x:v>
      </x:c>
      <x:c r="H44" s="23" t="n">
        <x:v>39.713182</x:v>
      </x:c>
      <x:c r="I44" s="23" t="n">
        <x:v>11.9253</x:v>
      </x:c>
      <x:c r="J44" s="24" t="n">
        <x:f>MEDIAN(C44:E44)</x:f>
        <x:v>25.515105</x:v>
      </x:c>
      <x:c r="K44" s="24" t="n">
        <x:f>MEDIAN(F44:H44)</x:f>
        <x:v>25.852843</x:v>
      </x:c>
      <x:c r="L44" s="2" t="str">
        <x:v>2023-02</x:v>
      </x:c>
      <x:c r="M44" s="2" t="str">
        <x:v>C1/C2</x:v>
      </x:c>
      <x:c r="N44" s="24" t="n">
        <x:f>B44</x:f>
        <x:v>27.409449</x:v>
      </x:c>
    </x:row>
    <x:row r="45" ht="24" customHeight="1">
      <x:c r="A45" s="39" t="n">
        <x:v>45016</x:v>
      </x:c>
      <x:c r="B45" s="23" t="n">
        <x:v>26.818181</x:v>
      </x:c>
      <x:c r="C45" s="23" t="n">
        <x:v>27.151503</x:v>
      </x:c>
      <x:c r="D45" s="23" t="n">
        <x:v>24.183957</x:v>
      </x:c>
      <x:c r="E45" s="23" t="n">
        <x:v>76.088851</x:v>
      </x:c>
      <x:c r="F45" s="23" t="n">
        <x:v>38.172654</x:v>
      </x:c>
      <x:c r="G45" s="23" t="n">
        <x:v>33.758126</x:v>
      </x:c>
      <x:c r="H45" s="23" t="n">
        <x:v>51.093677</x:v>
      </x:c>
      <x:c r="I45" s="23" t="n">
        <x:v>12.0775</x:v>
      </x:c>
      <x:c r="J45" s="24" t="n">
        <x:f>MEDIAN(C45:E45)</x:f>
        <x:v>27.151503</x:v>
      </x:c>
      <x:c r="K45" s="24" t="n">
        <x:f>MEDIAN(F45:H45)</x:f>
        <x:v>38.172654</x:v>
      </x:c>
      <x:c r="L45" s="2" t="str">
        <x:v>2023-03</x:v>
      </x:c>
      <x:c r="M45" s="2" t="str">
        <x:v>C1/C2</x:v>
      </x:c>
      <x:c r="N45" s="24" t="n">
        <x:f>B45</x:f>
        <x:v>26.818181</x:v>
      </x:c>
    </x:row>
    <x:row r="46" ht="24" customHeight="1">
      <x:c r="A46" s="39" t="n">
        <x:v>45044</x:v>
      </x:c>
      <x:c r="B46" s="23" t="n">
        <x:v>23.997113</x:v>
      </x:c>
      <x:c r="C46" s="23" t="n">
        <x:v>16.786453</x:v>
      </x:c>
      <x:c r="D46" s="23" t="n">
        <x:v>21.972913</x:v>
      </x:c>
      <x:c r="E46" s="23" t="n">
        <x:v>59.797055</x:v>
      </x:c>
      <x:c r="F46" s="23" t="n">
        <x:v>57.370987</x:v>
      </x:c>
      <x:c r="G46" s="23" t="n">
        <x:v>33.047223</x:v>
      </x:c>
      <x:c r="H46" s="23" t="n">
        <x:v>58.181433</x:v>
      </x:c>
      <x:c r="I46" s="23" t="n">
        <x:v>12.2362</x:v>
      </x:c>
      <x:c r="J46" s="24" t="n">
        <x:f>MEDIAN(C46:E46)</x:f>
        <x:v>21.972913</x:v>
      </x:c>
      <x:c r="K46" s="24" t="n">
        <x:f>MEDIAN(F46:H46)</x:f>
        <x:v>57.370987</x:v>
      </x:c>
      <x:c r="L46" s="2" t="str">
        <x:v>2023-04</x:v>
      </x:c>
      <x:c r="M46" s="2" t="str">
        <x:v>C1/C2</x:v>
      </x:c>
      <x:c r="N46" s="24" t="n">
        <x:f>B46</x:f>
        <x:v>23.997113</x:v>
      </x:c>
    </x:row>
    <x:row r="47" ht="24" customHeight="1">
      <x:c r="A47" s="39" t="n">
        <x:v>45077</x:v>
      </x:c>
      <x:c r="B47" s="23" t="n">
        <x:v>22.130696</x:v>
      </x:c>
      <x:c r="C47" s="23" t="n">
        <x:v>16.728926</x:v>
      </x:c>
      <x:c r="D47" s="23" t="n">
        <x:v>21.822</x:v>
      </x:c>
      <x:c r="E47" s="23" t="n">
        <x:v>55.709696</x:v>
      </x:c>
      <x:c r="F47" s="23" t="n">
        <x:v>68.68597</x:v>
      </x:c>
      <x:c r="G47" s="23" t="n">
        <x:v>38.263027</x:v>
      </x:c>
      <x:c r="H47" s="23" t="n">
        <x:v>72.883462</x:v>
      </x:c>
      <x:c r="I47" s="23" t="n">
        <x:v>11.7044</x:v>
      </x:c>
      <x:c r="J47" s="24" t="n">
        <x:f>MEDIAN(C47:E47)</x:f>
        <x:v>21.822</x:v>
      </x:c>
      <x:c r="K47" s="24" t="n">
        <x:f>MEDIAN(F47:H47)</x:f>
        <x:v>68.68597</x:v>
      </x:c>
      <x:c r="L47" s="2" t="str">
        <x:v>2023-05</x:v>
      </x:c>
      <x:c r="M47" s="2" t="str">
        <x:v>C1/C2</x:v>
      </x:c>
      <x:c r="N47" s="24" t="n">
        <x:f>B47</x:f>
        <x:v>22.130696</x:v>
      </x:c>
    </x:row>
    <x:row r="48" ht="24" customHeight="1">
      <x:c r="A48" s="39" t="n">
        <x:v>45107</x:v>
      </x:c>
      <x:c r="B48" s="23" t="n">
        <x:v>23.288515</x:v>
      </x:c>
      <x:c r="C48" s="23" t="n">
        <x:v>18.305173</x:v>
      </x:c>
      <x:c r="D48" s="23" t="n">
        <x:v>22.123826</x:v>
      </x:c>
      <x:c r="E48" s="23" t="n">
        <x:v>58.046386</x:v>
      </x:c>
      <x:c r="F48" s="23" t="n">
        <x:v>94.211593</x:v>
      </x:c>
      <x:c r="G48" s="23" t="n">
        <x:v>52.494828</x:v>
      </x:c>
      <x:c r="H48" s="23" t="n">
        <x:v>102.31459</x:v>
      </x:c>
      <x:c r="I48" s="23" t="n">
        <x:v>11.7017</x:v>
      </x:c>
      <x:c r="J48" s="24" t="n">
        <x:f>MEDIAN(C48:E48)</x:f>
        <x:v>22.123826</x:v>
      </x:c>
      <x:c r="K48" s="24" t="n">
        <x:f>MEDIAN(F48:H48)</x:f>
        <x:v>94.211593</x:v>
      </x:c>
      <x:c r="L48" s="2" t="str">
        <x:v>2023-06</x:v>
      </x:c>
      <x:c r="M48" s="2" t="str">
        <x:v>C1/C2</x:v>
      </x:c>
      <x:c r="N48" s="24" t="n">
        <x:f>B48</x:f>
        <x:v>23.288515</x:v>
      </x:c>
    </x:row>
    <x:row r="49" ht="24" customHeight="1">
      <x:c r="A49" s="39" t="n">
        <x:v>45138</x:v>
      </x:c>
      <x:c r="B49" s="23" t="n">
        <x:v>22.017431</x:v>
      </x:c>
      <x:c r="C49" s="23" t="n">
        <x:v>18.10958</x:v>
      </x:c>
      <x:c r="D49" s="23" t="n">
        <x:v>23.195307</x:v>
      </x:c>
      <x:c r="E49" s="23" t="n">
        <x:v>50.466446</x:v>
      </x:c>
      <x:c r="F49" s="23" t="n">
        <x:v>81.784225</x:v>
      </x:c>
      <x:c r="G49" s="23" t="n">
        <x:v>43.012074</x:v>
      </x:c>
      <x:c r="H49" s="23" t="n">
        <x:v>76.081577</x:v>
      </x:c>
      <x:c r="I49" s="23" t="n">
        <x:v>12.113</x:v>
      </x:c>
      <x:c r="J49" s="24" t="n">
        <x:f>MEDIAN(C49:E49)</x:f>
        <x:v>23.195307</x:v>
      </x:c>
      <x:c r="K49" s="24" t="n">
        <x:f>MEDIAN(F49:H49)</x:f>
        <x:v>76.081577</x:v>
      </x:c>
      <x:c r="L49" s="2" t="str">
        <x:v>2023-07</x:v>
      </x:c>
      <x:c r="M49" s="2" t="str">
        <x:v>C1/C2</x:v>
      </x:c>
      <x:c r="N49" s="24" t="n">
        <x:f>B49</x:f>
        <x:v>22.017431</x:v>
      </x:c>
    </x:row>
    <x:row r="50" ht="24" customHeight="1">
      <x:c r="A50" s="39" t="n">
        <x:v>45169</x:v>
      </x:c>
      <x:c r="B50" s="23" t="n">
        <x:v>19.70303</x:v>
      </x:c>
      <x:c r="C50" s="23" t="n">
        <x:v>14.869492</x:v>
      </x:c>
      <x:c r="D50" s="23" t="n">
        <x:v>17.679266</x:v>
      </x:c>
      <x:c r="E50" s="23" t="n">
        <x:v>48.753915</x:v>
      </x:c>
      <x:c r="F50" s="23" t="n">
        <x:v>68.401644</x:v>
      </x:c>
      <x:c r="G50" s="23" t="n">
        <x:v>41.553853</x:v>
      </x:c>
      <x:c r="H50" s="23" t="n">
        <x:v>71.555913</x:v>
      </x:c>
      <x:c r="I50" s="23" t="n">
        <x:v>11.7232</x:v>
      </x:c>
      <x:c r="J50" s="24" t="n">
        <x:f>MEDIAN(C50:E50)</x:f>
        <x:v>17.679266</x:v>
      </x:c>
      <x:c r="K50" s="24" t="n">
        <x:f>MEDIAN(F50:H50)</x:f>
        <x:v>68.401644</x:v>
      </x:c>
      <x:c r="L50" s="2" t="str">
        <x:v>2023-08</x:v>
      </x:c>
      <x:c r="M50" s="2" t="str">
        <x:v>C1/C2</x:v>
      </x:c>
      <x:c r="N50" s="24" t="n">
        <x:f>B50</x:f>
        <x:v>19.70303</x:v>
      </x:c>
    </x:row>
    <x:row r="51" ht="24" customHeight="1">
      <x:c r="A51" s="39" t="n">
        <x:v>45197</x:v>
      </x:c>
      <x:c r="B51" s="23" t="n">
        <x:v>20.498192</x:v>
      </x:c>
      <x:c r="C51" s="23" t="n">
        <x:v>15.155247</x:v>
      </x:c>
      <x:c r="D51" s="23" t="n">
        <x:v>17.65426</x:v>
      </x:c>
      <x:c r="E51" s="23" t="n">
        <x:v>53.60737</x:v>
      </x:c>
      <x:c r="F51" s="23" t="n">
        <x:v>69.105831</x:v>
      </x:c>
      <x:c r="G51" s="23" t="n">
        <x:v>47.824734</x:v>
      </x:c>
      <x:c r="H51" s="23" t="n">
        <x:v>80.511633</x:v>
      </x:c>
      <x:c r="I51" s="23" t="n">
        <x:v>11.5913</x:v>
      </x:c>
      <x:c r="J51" s="24" t="n">
        <x:f>MEDIAN(C51:E51)</x:f>
        <x:v>17.65426</x:v>
      </x:c>
      <x:c r="K51" s="24" t="n">
        <x:f>MEDIAN(F51:H51)</x:f>
        <x:v>69.105831</x:v>
      </x:c>
      <x:c r="L51" s="2" t="str">
        <x:v>2023-09</x:v>
      </x:c>
      <x:c r="M51" s="2" t="str">
        <x:v>C1/C2</x:v>
      </x:c>
      <x:c r="N51" s="24" t="n">
        <x:f>B51</x:f>
        <x:v>20.498192</x:v>
      </x:c>
    </x:row>
    <x:row r="52" ht="24" customHeight="1">
      <x:c r="A52" s="39" t="n">
        <x:v>45230</x:v>
      </x:c>
      <x:c r="B52" s="23" t="n">
        <x:v>19.598027</x:v>
      </x:c>
      <x:c r="C52" s="23" t="n">
        <x:v>14.029093</x:v>
      </x:c>
      <x:c r="D52" s="23" t="n">
        <x:v>16.52153</x:v>
      </x:c>
      <x:c r="E52" s="23" t="n">
        <x:v>48.749287</x:v>
      </x:c>
      <x:c r="F52" s="23" t="n">
        <x:v>42.25147</x:v>
      </x:c>
      <x:c r="G52" s="23" t="n">
        <x:v>40.239942</x:v>
      </x:c>
      <x:c r="H52" s="23" t="n">
        <x:v>49.78259</x:v>
      </x:c>
      <x:c r="I52" s="23" t="n">
        <x:v>11.2531</x:v>
      </x:c>
      <x:c r="J52" s="24" t="n">
        <x:f>MEDIAN(C52:E52)</x:f>
        <x:v>16.52153</x:v>
      </x:c>
      <x:c r="K52" s="24" t="n">
        <x:f>MEDIAN(F52:H52)</x:f>
        <x:v>42.25147</x:v>
      </x:c>
      <x:c r="L52" s="2" t="str">
        <x:v>2023-10</x:v>
      </x:c>
      <x:c r="M52" s="2" t="str">
        <x:v>C1/C2</x:v>
      </x:c>
      <x:c r="N52" s="24" t="n">
        <x:f>B52</x:f>
        <x:v>19.598027</x:v>
      </x:c>
    </x:row>
    <x:row r="53" ht="24" customHeight="1">
      <x:c r="A53" s="39" t="n">
        <x:v>45260</x:v>
      </x:c>
      <x:c r="B53" s="23" t="n">
        <x:v>18.809192</x:v>
      </x:c>
      <x:c r="C53" s="23" t="n">
        <x:v>13.01627</x:v>
      </x:c>
      <x:c r="D53" s="23" t="n">
        <x:v>15.606453</x:v>
      </x:c>
      <x:c r="E53" s="23" t="n">
        <x:v>48.298621</x:v>
      </x:c>
      <x:c r="F53" s="23" t="n">
        <x:v>45.703813</x:v>
      </x:c>
      <x:c r="G53" s="23" t="n">
        <x:v>40.966312</x:v>
      </x:c>
      <x:c r="H53" s="23" t="n">
        <x:v>51.2437</x:v>
      </x:c>
      <x:c r="I53" s="23" t="n">
        <x:v>11.0815</x:v>
      </x:c>
      <x:c r="J53" s="24" t="n">
        <x:f>MEDIAN(C53:E53)</x:f>
        <x:v>15.606453</x:v>
      </x:c>
      <x:c r="K53" s="24" t="n">
        <x:f>MEDIAN(F53:H53)</x:f>
        <x:v>45.703813</x:v>
      </x:c>
      <x:c r="L53" s="2" t="str">
        <x:v>2023-11</x:v>
      </x:c>
      <x:c r="M53" s="2" t="str">
        <x:v>C1/C2</x:v>
      </x:c>
      <x:c r="N53" s="24" t="n">
        <x:f>B53</x:f>
        <x:v>18.809192</x:v>
      </x:c>
    </x:row>
    <x:row r="54" ht="24" customHeight="1">
      <x:c r="A54" s="39" t="n">
        <x:v>45289</x:v>
      </x:c>
      <x:c r="B54" s="23" t="n">
        <x:v>17.755256</x:v>
      </x:c>
      <x:c r="C54" s="23" t="n">
        <x:v>12.524901</x:v>
      </x:c>
      <x:c r="D54" s="23" t="n">
        <x:v>14.967152</x:v>
      </x:c>
      <x:c r="E54" s="23" t="n">
        <x:v>45.100396</x:v>
      </x:c>
      <x:c r="F54" s="23" t="n">
        <x:v>54.365966</x:v>
      </x:c>
      <x:c r="G54" s="23" t="n">
        <x:v>42.653384</x:v>
      </x:c>
      <x:c r="H54" s="23" t="n">
        <x:v>63.98122</x:v>
      </x:c>
      <x:c r="I54" s="23" t="n">
        <x:v>10.9621</x:v>
      </x:c>
      <x:c r="J54" s="24" t="n">
        <x:f>MEDIAN(C54:E54)</x:f>
        <x:v>14.967152</x:v>
      </x:c>
      <x:c r="K54" s="24" t="n">
        <x:f>MEDIAN(F54:H54)</x:f>
        <x:v>54.365966</x:v>
      </x:c>
      <x:c r="L54" s="2" t="str">
        <x:v>2023-12</x:v>
      </x:c>
      <x:c r="M54" s="2" t="str">
        <x:v>C1/C2</x:v>
      </x:c>
      <x:c r="N54" s="24" t="n">
        <x:f>B54</x:f>
        <x:v>17.755256</x:v>
      </x:c>
    </x:row>
    <x:row r="55" ht="24" customHeight="1">
      <x:c r="A55" s="39" t="n">
        <x:v>45322</x:v>
      </x:c>
      <x:c r="B55" s="23" t="n">
        <x:v>15.440478</x:v>
      </x:c>
      <x:c r="C55" s="23" t="n">
        <x:v>11.592302</x:v>
      </x:c>
      <x:c r="D55" s="23" t="n">
        <x:v>13.776299</x:v>
      </x:c>
      <x:c r="E55" s="23" t="n">
        <x:v>36.156209</x:v>
      </x:c>
      <x:c r="F55" s="23" t="n">
        <x:v>49.498019</x:v>
      </x:c>
      <x:c r="G55" s="23" t="n">
        <x:v>32.506369</x:v>
      </x:c>
      <x:c r="H55" s="23" t="n">
        <x:v>60.03133</x:v>
      </x:c>
      <x:c r="I55" s="23" t="n">
        <x:v>10.7087</x:v>
      </x:c>
      <x:c r="J55" s="24" t="n">
        <x:f>MEDIAN(C55:E55)</x:f>
        <x:v>13.776299</x:v>
      </x:c>
      <x:c r="K55" s="24" t="n">
        <x:f>MEDIAN(F55:H55)</x:f>
        <x:v>49.498019</x:v>
      </x:c>
      <x:c r="L55" s="2" t="str">
        <x:v>2024-01</x:v>
      </x:c>
      <x:c r="M55" s="2" t="str">
        <x:v>C1/C2</x:v>
      </x:c>
      <x:c r="N55" s="24" t="n">
        <x:f>B55</x:f>
        <x:v>15.440478</x:v>
      </x:c>
    </x:row>
    <x:row r="56" ht="24" customHeight="1">
      <x:c r="A56" s="39" t="n">
        <x:v>45351</x:v>
      </x:c>
      <x:c r="B56" s="23" t="n">
        <x:v>17.832847</x:v>
      </x:c>
      <x:c r="C56" s="23" t="n">
        <x:v>13.126578</x:v>
      </x:c>
      <x:c r="D56" s="23" t="n">
        <x:v>15.343211</x:v>
      </x:c>
      <x:c r="E56" s="23" t="n">
        <x:v>48.894904</x:v>
      </x:c>
      <x:c r="F56" s="23" t="n">
        <x:v>57.114827</x:v>
      </x:c>
      <x:c r="G56" s="23" t="n">
        <x:v>44.928231</x:v>
      </x:c>
      <x:c r="H56" s="23" t="n">
        <x:v>95.076987</x:v>
      </x:c>
      <x:c r="I56" s="23" t="n">
        <x:v>11.544</x:v>
      </x:c>
      <x:c r="J56" s="24" t="n">
        <x:f>MEDIAN(C56:E56)</x:f>
        <x:v>15.343211</x:v>
      </x:c>
      <x:c r="K56" s="24" t="n">
        <x:f>MEDIAN(F56:H56)</x:f>
        <x:v>57.114827</x:v>
      </x:c>
      <x:c r="L56" s="2" t="str">
        <x:v>2024-02</x:v>
      </x:c>
      <x:c r="M56" s="2" t="str">
        <x:v>C1/C2</x:v>
      </x:c>
      <x:c r="N56" s="24" t="n">
        <x:f>B56</x:f>
        <x:v>17.832847</x:v>
      </x:c>
    </x:row>
    <x:row r="57" ht="24" customHeight="1">
      <x:c r="A57" s="39" t="n">
        <x:v>45380</x:v>
      </x:c>
      <x:c r="B57" s="23" t="n">
        <x:v>17.185848</x:v>
      </x:c>
      <x:c r="C57" s="23" t="n">
        <x:v>14.069204</x:v>
      </x:c>
      <x:c r="D57" s="23" t="n">
        <x:v>15.4811</x:v>
      </x:c>
      <x:c r="E57" s="23" t="n">
        <x:v>48.596764</x:v>
      </x:c>
      <x:c r="F57" s="23" t="n">
        <x:v>57.630171</x:v>
      </x:c>
      <x:c r="G57" s="23" t="n">
        <x:v>57.649416</x:v>
      </x:c>
      <x:c r="H57" s="23" t="n">
        <x:v>81.83862</x:v>
      </x:c>
      <x:c r="I57" s="23" t="n">
        <x:v>11.6712</x:v>
      </x:c>
      <x:c r="J57" s="24" t="n">
        <x:f>MEDIAN(C57:E57)</x:f>
        <x:v>15.4811</x:v>
      </x:c>
      <x:c r="K57" s="24" t="n">
        <x:f>MEDIAN(F57:H57)</x:f>
        <x:v>57.649416</x:v>
      </x:c>
      <x:c r="L57" s="2" t="str">
        <x:v>2024-03</x:v>
      </x:c>
      <x:c r="M57" s="2" t="str">
        <x:v>C1/C2</x:v>
      </x:c>
      <x:c r="N57" s="24" t="n">
        <x:f>B57</x:f>
        <x:v>17.185848</x:v>
      </x:c>
    </x:row>
    <x:row r="58" ht="24" customHeight="1">
      <x:c r="A58" s="39" t="n">
        <x:v>45412</x:v>
      </x:c>
      <x:c r="B58" s="23" t="n">
        <x:v>17.887959</x:v>
      </x:c>
      <x:c r="C58" s="23" t="n">
        <x:v>15.518171</x:v>
      </x:c>
      <x:c r="D58" s="23" t="n">
        <x:v>15.376187</x:v>
      </x:c>
      <x:c r="E58" s="23" t="n">
        <x:v>41.141144</x:v>
      </x:c>
      <x:c r="F58" s="23" t="n">
        <x:v>50.999316</x:v>
      </x:c>
      <x:c r="G58" s="23" t="n">
        <x:v>50.262641</x:v>
      </x:c>
      <x:c r="H58" s="23" t="n">
        <x:v>69.510803</x:v>
      </x:c>
      <x:c r="I58" s="23" t="n">
        <x:v>12.085</x:v>
      </x:c>
      <x:c r="J58" s="24" t="n">
        <x:f>MEDIAN(C58:E58)</x:f>
        <x:v>15.518171</x:v>
      </x:c>
      <x:c r="K58" s="24" t="n">
        <x:f>MEDIAN(F58:H58)</x:f>
        <x:v>50.999316</x:v>
      </x:c>
      <x:c r="L58" s="2" t="str">
        <x:v>2024-04</x:v>
      </x:c>
      <x:c r="M58" s="2" t="str">
        <x:v>C1/C2</x:v>
      </x:c>
      <x:c r="N58" s="24" t="n">
        <x:f>B58</x:f>
        <x:v>17.887959</x:v>
      </x:c>
    </x:row>
    <x:row r="59" ht="24" customHeight="1">
      <x:c r="A59" s="39" t="n">
        <x:v>45443</x:v>
      </x:c>
      <x:c r="B59" s="23" t="n">
        <x:v>17.201007</x:v>
      </x:c>
      <x:c r="C59" s="23" t="n">
        <x:v>17.222082</x:v>
      </x:c>
      <x:c r="D59" s="23" t="n">
        <x:v>16.244898</x:v>
      </x:c>
      <x:c r="E59" s="23" t="n">
        <x:v>37.441234</x:v>
      </x:c>
      <x:c r="F59" s="23" t="n">
        <x:v>43.195493</x:v>
      </x:c>
      <x:c r="G59" s="23" t="n">
        <x:v>44.078319</x:v>
      </x:c>
      <x:c r="H59" s="23" t="n">
        <x:v>53.516645</x:v>
      </x:c>
      <x:c r="I59" s="23" t="n">
        <x:v>12.0334</x:v>
      </x:c>
      <x:c r="J59" s="24" t="n">
        <x:f>MEDIAN(C59:E59)</x:f>
        <x:v>17.222082</x:v>
      </x:c>
      <x:c r="K59" s="24" t="n">
        <x:f>MEDIAN(F59:H59)</x:f>
        <x:v>44.078319</x:v>
      </x:c>
      <x:c r="L59" s="2" t="str">
        <x:v>2024-05</x:v>
      </x:c>
      <x:c r="M59" s="2" t="str">
        <x:v>C1/C2</x:v>
      </x:c>
      <x:c r="N59" s="24" t="n">
        <x:f>B59</x:f>
        <x:v>17.201007</x:v>
      </x:c>
    </x:row>
    <x:row r="60" ht="24" customHeight="1">
      <x:c r="A60" s="39" t="n">
        <x:v>45471</x:v>
      </x:c>
      <x:c r="B60" s="23" t="n">
        <x:v>16.548063</x:v>
      </x:c>
      <x:c r="C60" s="23" t="n">
        <x:v>18.125498</x:v>
      </x:c>
      <x:c r="D60" s="23" t="n">
        <x:v>17.124468</x:v>
      </x:c>
      <x:c r="E60" s="23" t="n">
        <x:v>36.999106</x:v>
      </x:c>
      <x:c r="F60" s="23" t="n">
        <x:v>52.70818</x:v>
      </x:c>
      <x:c r="G60" s="23" t="n">
        <x:v>49.915357</x:v>
      </x:c>
      <x:c r="H60" s="23" t="n">
        <x:v>53.432043</x:v>
      </x:c>
      <x:c r="I60" s="23" t="n">
        <x:v>11.8591</x:v>
      </x:c>
      <x:c r="J60" s="24" t="n">
        <x:f>MEDIAN(C60:E60)</x:f>
        <x:v>18.125498</x:v>
      </x:c>
      <x:c r="K60" s="24" t="n">
        <x:f>MEDIAN(F60:H60)</x:f>
        <x:v>52.70818</x:v>
      </x:c>
      <x:c r="L60" s="2" t="str">
        <x:v>2024-06</x:v>
      </x:c>
      <x:c r="M60" s="2" t="str">
        <x:v>C1/C2</x:v>
      </x:c>
      <x:c r="N60" s="24" t="n">
        <x:f>B60</x:f>
        <x:v>16.548063</x:v>
      </x:c>
    </x:row>
    <x:row r="61" ht="24" customHeight="1">
      <x:c r="A61" s="39" t="n">
        <x:v>45504</x:v>
      </x:c>
      <x:c r="B61" s="23" t="n">
        <x:v>16.201186</x:v>
      </x:c>
      <x:c r="C61" s="23" t="n">
        <x:v>17.119161</x:v>
      </x:c>
      <x:c r="D61" s="23" t="n">
        <x:v>16.885573</x:v>
      </x:c>
      <x:c r="E61" s="23" t="n">
        <x:v>36.39409</x:v>
      </x:c>
      <x:c r="F61" s="23" t="n">
        <x:v>49.504709</x:v>
      </x:c>
      <x:c r="G61" s="23" t="n">
        <x:v>45.280455</x:v>
      </x:c>
      <x:c r="H61" s="23" t="n">
        <x:v>60.447945</x:v>
      </x:c>
      <x:c r="I61" s="23" t="n">
        <x:v>11.7167</x:v>
      </x:c>
      <x:c r="J61" s="24" t="n">
        <x:f>MEDIAN(C61:E61)</x:f>
        <x:v>17.119161</x:v>
      </x:c>
      <x:c r="K61" s="24" t="n">
        <x:f>MEDIAN(F61:H61)</x:f>
        <x:v>49.504709</x:v>
      </x:c>
      <x:c r="L61" s="2" t="str">
        <x:v>2024-07</x:v>
      </x:c>
      <x:c r="M61" s="2" t="str">
        <x:v>C1/C2</x:v>
      </x:c>
      <x:c r="N61" s="24" t="n">
        <x:f>B61</x:f>
        <x:v>16.201186</x:v>
      </x:c>
    </x:row>
    <x:row r="62" ht="24" customHeight="1">
      <x:c r="A62" s="39" t="n">
        <x:v>45534</x:v>
      </x:c>
      <x:c r="B62" s="23" t="n">
        <x:v>16.319303</x:v>
      </x:c>
      <x:c r="C62" s="23" t="n">
        <x:v>16.870777</x:v>
      </x:c>
      <x:c r="D62" s="23" t="n">
        <x:v>13.877214</x:v>
      </x:c>
      <x:c r="E62" s="23" t="n">
        <x:v>32.772663</x:v>
      </x:c>
      <x:c r="F62" s="23" t="n">
        <x:v>31.161032</x:v>
      </x:c>
      <x:c r="G62" s="23" t="n">
        <x:v>39.26916</x:v>
      </x:c>
      <x:c r="H62" s="23" t="n">
        <x:v>37.04892</x:v>
      </x:c>
      <x:c r="I62" s="23" t="n">
        <x:v>11.3146</x:v>
      </x:c>
      <x:c r="J62" s="24" t="n">
        <x:f>MEDIAN(C62:E62)</x:f>
        <x:v>16.870777</x:v>
      </x:c>
      <x:c r="K62" s="24" t="n">
        <x:f>MEDIAN(F62:H62)</x:f>
        <x:v>37.04892</x:v>
      </x:c>
      <x:c r="L62" s="2" t="str">
        <x:v>2024-08</x:v>
      </x:c>
      <x:c r="M62" s="2" t="str">
        <x:v>C1/C2</x:v>
      </x:c>
      <x:c r="N62" s="24" t="n">
        <x:f>B62</x:f>
        <x:v>16.319303</x:v>
      </x:c>
    </x:row>
    <x:row r="63" ht="24" customHeight="1">
      <x:c r="A63" s="39" t="n">
        <x:v>45565</x:v>
      </x:c>
      <x:c r="B63" s="23" t="n">
        <x:v>19.157442</x:v>
      </x:c>
      <x:c r="C63" s="23" t="n">
        <x:v>20.164224</x:v>
      </x:c>
      <x:c r="D63" s="23" t="n">
        <x:v>16.595734</x:v>
      </x:c>
      <x:c r="E63" s="23" t="n">
        <x:v>38.918956</x:v>
      </x:c>
      <x:c r="F63" s="23" t="n">
        <x:v>44.31219</x:v>
      </x:c>
      <x:c r="G63" s="23" t="n">
        <x:v>45.308495</x:v>
      </x:c>
      <x:c r="H63" s="23" t="n">
        <x:v>48.488299</x:v>
      </x:c>
      <x:c r="I63" s="23" t="n">
        <x:v>13.3213</x:v>
      </x:c>
      <x:c r="J63" s="24" t="n">
        <x:f>MEDIAN(C63:E63)</x:f>
        <x:v>20.164224</x:v>
      </x:c>
      <x:c r="K63" s="24" t="n">
        <x:f>MEDIAN(F63:H63)</x:f>
        <x:v>45.308495</x:v>
      </x:c>
      <x:c r="L63" s="2" t="str">
        <x:v>2024-09</x:v>
      </x:c>
      <x:c r="M63" s="2" t="str">
        <x:v>C1/C2</x:v>
      </x:c>
      <x:c r="N63" s="24" t="n">
        <x:f>B63</x:f>
        <x:v>19.157442</x:v>
      </x:c>
    </x:row>
    <x:row r="64" ht="24" customHeight="1">
      <x:c r="A64" s="39" t="n">
        <x:v>45596</x:v>
      </x:c>
      <x:c r="B64" s="23" t="n">
        <x:v>21.570542</x:v>
      </x:c>
      <x:c r="C64" s="23" t="n">
        <x:v>19.422832</x:v>
      </x:c>
      <x:c r="D64" s="23" t="n">
        <x:v>16.025028</x:v>
      </x:c>
      <x:c r="E64" s="23" t="n">
        <x:v>39.755189</x:v>
      </x:c>
      <x:c r="F64" s="23" t="n">
        <x:v>34.630278</x:v>
      </x:c>
      <x:c r="G64" s="23" t="n">
        <x:v>53.968537</x:v>
      </x:c>
      <x:c r="H64" s="23" t="n">
        <x:v>56.079644</x:v>
      </x:c>
      <x:c r="I64" s="23" t="n">
        <x:v>12.4548</x:v>
      </x:c>
      <x:c r="J64" s="24" t="n">
        <x:f>MEDIAN(C64:E64)</x:f>
        <x:v>19.422832</x:v>
      </x:c>
      <x:c r="K64" s="24" t="n">
        <x:f>MEDIAN(F64:H64)</x:f>
        <x:v>53.968537</x:v>
      </x:c>
      <x:c r="L64" s="2" t="str">
        <x:v>2024-10</x:v>
      </x:c>
      <x:c r="M64" s="2" t="str">
        <x:v>C1/C2</x:v>
      </x:c>
      <x:c r="N64" s="24" t="n">
        <x:f>B64</x:f>
        <x:v>21.570542</x:v>
      </x:c>
    </x:row>
    <x:row r="65" ht="24" customHeight="1">
      <x:c r="A65" s="39" t="n">
        <x:v>45625</x:v>
      </x:c>
      <x:c r="B65" s="23" t="n">
        <x:v>22.037636</x:v>
      </x:c>
      <x:c r="C65" s="23" t="n">
        <x:v>19.583148</x:v>
      </x:c>
      <x:c r="D65" s="23" t="n">
        <x:v>16.349047</x:v>
      </x:c>
      <x:c r="E65" s="23" t="n">
        <x:v>37.805795</x:v>
      </x:c>
      <x:c r="F65" s="23" t="n">
        <x:v>30.685884</x:v>
      </x:c>
      <x:c r="G65" s="23" t="n">
        <x:v>49.962087</x:v>
      </x:c>
      <x:c r="H65" s="23" t="n">
        <x:v>45.143457</x:v>
      </x:c>
      <x:c r="I65" s="23" t="n">
        <x:v>12.5637</x:v>
      </x:c>
      <x:c r="J65" s="24" t="n">
        <x:f>MEDIAN(C65:E65)</x:f>
        <x:v>19.583148</x:v>
      </x:c>
      <x:c r="K65" s="24" t="n">
        <x:f>MEDIAN(F65:H65)</x:f>
        <x:v>45.143457</x:v>
      </x:c>
      <x:c r="L65" s="2" t="str">
        <x:v>2024-11</x:v>
      </x:c>
      <x:c r="M65" s="2" t="str">
        <x:v>C1/C2</x:v>
      </x:c>
      <x:c r="N65" s="24" t="n">
        <x:f>B65</x:f>
        <x:v>22.037636</x:v>
      </x:c>
    </x:row>
    <x:row r="66" ht="24" customHeight="1">
      <x:c r="A66" s="39" t="n">
        <x:v>45657</x:v>
      </x:c>
      <x:c r="B66" s="23" t="n">
        <x:v>22.887593</x:v>
      </x:c>
      <x:c r="C66" s="23" t="n">
        <x:v>17.659363</x:v>
      </x:c>
      <x:c r="D66" s="23" t="n">
        <x:v>15.941709</x:v>
      </x:c>
      <x:c r="E66" s="23" t="n">
        <x:v>40.356602</x:v>
      </x:c>
      <x:c r="F66" s="23" t="n">
        <x:v>29.906206</x:v>
      </x:c>
      <x:c r="G66" s="23" t="n">
        <x:v>61.791753</x:v>
      </x:c>
      <x:c r="H66" s="23" t="n">
        <x:v>39.937612</x:v>
      </x:c>
      <x:c r="I66" s="23" t="n">
        <x:v>12.9967</x:v>
      </x:c>
      <x:c r="J66" s="24" t="n">
        <x:f>MEDIAN(C66:E66)</x:f>
        <x:v>17.659363</x:v>
      </x:c>
      <x:c r="K66" s="24" t="n">
        <x:f>MEDIAN(F66:H66)</x:f>
        <x:v>39.937612</x:v>
      </x:c>
      <x:c r="L66" s="2" t="str">
        <x:v>2024-12</x:v>
      </x:c>
      <x:c r="M66" s="2" t="str">
        <x:v>C1/C2</x:v>
      </x:c>
      <x:c r="N66" s="24" t="n">
        <x:f>B66</x:f>
        <x:v>22.887593</x:v>
      </x:c>
    </x:row>
    <x:row r="67" ht="24" customHeight="1">
      <x:c r="A67" s="39" t="n">
        <x:v>45684</x:v>
      </x:c>
      <x:c r="B67" s="23" t="n">
        <x:v>32.007407</x:v>
      </x:c>
      <x:c r="C67" s="23" t="n">
        <x:v>16.820789</x:v>
      </x:c>
      <x:c r="D67" s="23" t="n">
        <x:v>14.488255</x:v>
      </x:c>
      <x:c r="E67" s="23" t="n">
        <x:v>39.195261</x:v>
      </x:c>
      <x:c r="F67" s="23" t="n">
        <x:v>27.802045</x:v>
      </x:c>
      <x:c r="G67" s="23" t="n">
        <x:v>57.338294</x:v>
      </x:c>
      <x:c r="H67" s="23" t="n">
        <x:v>44.064266</x:v>
      </x:c>
      <x:c r="I67" s="23" t="n">
        <x:v>12.5047</x:v>
      </x:c>
      <x:c r="J67" s="24" t="n">
        <x:f>MEDIAN(C67:E67)</x:f>
        <x:v>16.820789</x:v>
      </x:c>
      <x:c r="K67" s="24" t="n">
        <x:f>MEDIAN(F67:H67)</x:f>
        <x:v>44.064266</x:v>
      </x:c>
      <x:c r="L67" s="2" t="str">
        <x:v>2025-01</x:v>
      </x:c>
      <x:c r="M67" s="2" t="str">
        <x:v>C1/C2</x:v>
      </x:c>
      <x:c r="N67" s="24" t="n">
        <x:f>B67</x:f>
        <x:v>32.007407</x:v>
      </x:c>
    </x:row>
    <x:row r="68" ht="24" customHeight="1">
      <x:c r="A68" s="39" t="n">
        <x:v>45716</x:v>
      </x:c>
      <x:c r="B68" s="23" t="n">
        <x:v>27.949052</x:v>
      </x:c>
      <x:c r="C68" s="23" t="n">
        <x:v>17.018101</x:v>
      </x:c>
      <x:c r="D68" s="23" t="n">
        <x:v>14.404936</x:v>
      </x:c>
      <x:c r="E68" s="23" t="n">
        <x:v>50.808672</x:v>
      </x:c>
      <x:c r="F68" s="23" t="n">
        <x:v>21.871232</x:v>
      </x:c>
      <x:c r="G68" s="23" t="n">
        <x:v>64.681764</x:v>
      </x:c>
      <x:c r="H68" s="23" t="n">
        <x:v>38.674262</x:v>
      </x:c>
      <x:c r="I68" s="23" t="n">
        <x:v>12.616</x:v>
      </x:c>
      <x:c r="J68" s="24" t="n">
        <x:f>MEDIAN(C68:E68)</x:f>
        <x:v>17.018101</x:v>
      </x:c>
      <x:c r="K68" s="24" t="n">
        <x:f>MEDIAN(F68:H68)</x:f>
        <x:v>38.674262</x:v>
      </x:c>
      <x:c r="L68" s="2" t="str">
        <x:v>2025-02</x:v>
      </x:c>
      <x:c r="M68" s="2" t="str">
        <x:v>C1/C2</x:v>
      </x:c>
      <x:c r="N68" s="24" t="n">
        <x:f>B68</x:f>
        <x:v>27.949052</x:v>
      </x:c>
    </x:row>
    <x:row r="69" ht="24" customHeight="1">
      <x:c r="A69" s="39" t="n">
        <x:v>45747</x:v>
      </x:c>
      <x:c r="B69" s="23" t="n">
        <x:v>37.958119</x:v>
      </x:c>
      <x:c r="C69" s="23" t="n">
        <x:v>17.955329</x:v>
      </x:c>
      <x:c r="D69" s="23" t="n">
        <x:v>15.404764</x:v>
      </x:c>
      <x:c r="E69" s="23" t="n">
        <x:v>46.806503</x:v>
      </x:c>
      <x:c r="F69" s="23" t="n">
        <x:v>21.0736</x:v>
      </x:c>
      <x:c r="G69" s="23" t="n">
        <x:v>54.270618</x:v>
      </x:c>
      <x:c r="H69" s="23" t="n">
        <x:v>36.991252</x:v>
      </x:c>
      <x:c r="I69" s="23" t="n">
        <x:v>12.3813</x:v>
      </x:c>
      <x:c r="J69" s="24" t="n">
        <x:f>MEDIAN(C69:E69)</x:f>
        <x:v>17.955329</x:v>
      </x:c>
      <x:c r="K69" s="24" t="n">
        <x:f>MEDIAN(F69:H69)</x:f>
        <x:v>36.991252</x:v>
      </x:c>
      <x:c r="L69" s="2" t="str">
        <x:v>2025-03</x:v>
      </x:c>
      <x:c r="M69" s="2" t="str">
        <x:v>C1/C2</x:v>
      </x:c>
      <x:c r="N69" s="24" t="n">
        <x:f>B69</x:f>
        <x:v>37.958119</x:v>
      </x:c>
    </x:row>
    <x:row r="70" ht="24" customHeight="1">
      <x:c r="A70" s="39" t="n">
        <x:v>45777</x:v>
      </x:c>
      <x:c r="B70" s="23" t="n">
        <x:v>32.358335</x:v>
      </x:c>
      <x:c r="C70" s="23" t="n">
        <x:v>16.778385</x:v>
      </x:c>
      <x:c r="D70" s="23" t="n">
        <x:v>13.515369</x:v>
      </x:c>
      <x:c r="E70" s="23" t="n">
        <x:v>35.314626</x:v>
      </x:c>
      <x:c r="F70" s="23" t="n">
        <x:v>16.053944</x:v>
      </x:c>
      <x:c r="G70" s="23" t="n">
        <x:v>46.146646</x:v>
      </x:c>
      <x:c r="H70" s="23" t="n">
        <x:v>27.088809</x:v>
      </x:c>
      <x:c r="I70" s="23" t="n">
        <x:v>12.2335</x:v>
      </x:c>
      <x:c r="J70" s="24" t="n">
        <x:f>MEDIAN(C70:E70)</x:f>
        <x:v>16.778385</x:v>
      </x:c>
      <x:c r="K70" s="24" t="n">
        <x:f>MEDIAN(F70:H70)</x:f>
        <x:v>27.088809</x:v>
      </x:c>
      <x:c r="L70" s="2" t="str">
        <x:v>2025-04</x:v>
      </x:c>
      <x:c r="M70" s="2" t="str">
        <x:v>C1/C2</x:v>
      </x:c>
      <x:c r="N70" s="24" t="n">
        <x:f>B70</x:f>
        <x:v>32.358335</x:v>
      </x:c>
    </x:row>
    <x:row r="71" ht="24" customHeight="1">
      <x:c r="A71" s="39" t="n">
        <x:v>45807</x:v>
      </x:c>
      <x:c r="B71" s="23" t="n">
        <x:v>31.481922</x:v>
      </x:c>
      <x:c r="C71" s="23" t="n">
        <x:v>16.054659</x:v>
      </x:c>
      <x:c r="D71" s="23" t="n">
        <x:v>13.155778</x:v>
      </x:c>
      <x:c r="E71" s="23" t="n">
        <x:v>33.198393</x:v>
      </x:c>
      <x:c r="F71" s="23" t="n">
        <x:v>18.060267</x:v>
      </x:c>
      <x:c r="G71" s="23" t="n">
        <x:v>44.515145</x:v>
      </x:c>
      <x:c r="H71" s="23" t="n">
        <x:v>32.353052</x:v>
      </x:c>
      <x:c r="I71" s="23" t="n">
        <x:v>12.4871</x:v>
      </x:c>
      <x:c r="J71" s="24" t="n">
        <x:f>MEDIAN(C71:E71)</x:f>
        <x:v>16.054659</x:v>
      </x:c>
      <x:c r="K71" s="24" t="n">
        <x:f>MEDIAN(F71:H71)</x:f>
        <x:v>32.353052</x:v>
      </x:c>
      <x:c r="L71" s="2" t="str">
        <x:v>2025-05</x:v>
      </x:c>
      <x:c r="M71" s="2" t="str">
        <x:v>C1/C2</x:v>
      </x:c>
      <x:c r="N71" s="24" t="n">
        <x:f>B71</x:f>
        <x:v>31.481922</x:v>
      </x:c>
    </x:row>
    <x:row r="72" ht="24" customHeight="1">
      <x:c r="A72" s="39" t="n">
        <x:v>45838</x:v>
      </x:c>
      <x:c r="B72" s="23" t="n">
        <x:v>40.098338</x:v>
      </x:c>
      <x:c r="C72" s="23" t="n">
        <x:v>17.441801</x:v>
      </x:c>
      <x:c r="D72" s="23" t="n">
        <x:v>13.418893</x:v>
      </x:c>
      <x:c r="E72" s="23" t="n">
        <x:v>34.769085</x:v>
      </x:c>
      <x:c r="F72" s="23" t="n">
        <x:v>28.209751</x:v>
      </x:c>
      <x:c r="G72" s="23" t="n">
        <x:v>54.178846</x:v>
      </x:c>
      <x:c r="H72" s="23" t="n">
        <x:v>44.263093</x:v>
      </x:c>
      <x:c r="I72" s="23" t="n">
        <x:v>13.1015</x:v>
      </x:c>
      <x:c r="J72" s="24" t="n">
        <x:f>MEDIAN(C72:E72)</x:f>
        <x:v>17.441801</x:v>
      </x:c>
      <x:c r="K72" s="24" t="n">
        <x:f>MEDIAN(F72:H72)</x:f>
        <x:v>44.263093</x:v>
      </x:c>
      <x:c r="L72" s="2" t="str">
        <x:v>2025-06</x:v>
      </x:c>
      <x:c r="M72" s="2" t="str">
        <x:v>C1/C2</x:v>
      </x:c>
      <x:c r="N72" s="24" t="n">
        <x:f>B72</x:f>
        <x:v>40.098338</x:v>
      </x:c>
    </x:row>
    <x:row r="73" ht="24" customHeight="1">
      <x:c r="A73" s="39" t="n">
        <x:v>45869</x:v>
      </x:c>
      <x:c r="B73" s="23" t="n">
        <x:v>50.073686</x:v>
      </x:c>
      <x:c r="C73" s="23" t="n">
        <x:v>16.706013</x:v>
      </x:c>
      <x:c r="D73" s="23" t="n">
        <x:v>13.971436</x:v>
      </x:c>
      <x:c r="E73" s="23" t="n">
        <x:v>37.133317</x:v>
      </x:c>
      <x:c r="F73" s="23" t="n">
        <x:v>42.086411</x:v>
      </x:c>
      <x:c r="G73" s="23" t="n">
        <x:v>57.067945</x:v>
      </x:c>
      <x:c r="H73" s="23" t="n">
        <x:v>58.561004</x:v>
      </x:c>
      <x:c r="I73" s="23" t="n">
        <x:v>13.2181</x:v>
      </x:c>
      <x:c r="J73" s="24" t="n">
        <x:f>MEDIAN(C73:E73)</x:f>
        <x:v>16.706013</x:v>
      </x:c>
      <x:c r="K73" s="24" t="n">
        <x:f>MEDIAN(F73:H73)</x:f>
        <x:v>57.067945</x:v>
      </x:c>
      <x:c r="L73" s="2" t="str">
        <x:v>2025-07</x:v>
      </x:c>
      <x:c r="M73" s="2" t="str">
        <x:v>C1/C2</x:v>
      </x:c>
      <x:c r="N73" s="24" t="n">
        <x:f>B73</x:f>
        <x:v>50.073686</x:v>
      </x:c>
    </x:row>
    <x:row r="74" ht="24" customHeight="1">
      <x:c r="A74" s="39" t="n">
        <x:v>45898</x:v>
      </x:c>
      <x:c r="B74" s="23" t="n">
        <x:v>116.40356</x:v>
      </x:c>
      <x:c r="C74" s="23" t="n">
        <x:v>18.816518</x:v>
      </x:c>
      <x:c r="D74" s="23" t="n">
        <x:v>18.220042</x:v>
      </x:c>
      <x:c r="E74" s="23" t="n">
        <x:v>45.148255</x:v>
      </x:c>
      <x:c r="F74" s="23" t="n">
        <x:v>57.924159</x:v>
      </x:c>
      <x:c r="G74" s="23" t="n">
        <x:v>67.146989</x:v>
      </x:c>
      <x:c r="H74" s="23" t="n">
        <x:v>97.156899</x:v>
      </x:c>
      <x:c r="I74" s="23" t="n">
        <x:v>14.2057</x:v>
      </x:c>
      <x:c r="J74" s="24" t="n">
        <x:f>MEDIAN(C74:E74)</x:f>
        <x:v>18.816518</x:v>
      </x:c>
      <x:c r="K74" s="24" t="n">
        <x:f>MEDIAN(F74:H74)</x:f>
        <x:v>67.146989</x:v>
      </x:c>
      <x:c r="L74" s="2" t="str">
        <x:v>2025-08</x:v>
      </x:c>
      <x:c r="M74" s="2" t="str">
        <x:v>C1/C2</x:v>
      </x:c>
      <x:c r="N74" s="24" t="n">
        <x:f>B74</x:f>
        <x:v>116.40356</x:v>
      </x:c>
    </x:row>
    <x:row r="75" ht="24" customHeight="1">
      <x:c r="A75" s="39" t="n">
        <x:v>45930</x:v>
      </x:c>
      <x:c r="B75" s="23" t="n">
        <x:v>128.692716</x:v>
      </x:c>
      <x:c r="C75" s="23" t="n">
        <x:v>21.921706</x:v>
      </x:c>
      <x:c r="D75" s="23" t="n">
        <x:v>20.435271</x:v>
      </x:c>
      <x:c r="E75" s="23" t="n">
        <x:v>45.82782</x:v>
      </x:c>
      <x:c r="F75" s="23" t="n">
        <x:v>65.881958</x:v>
      </x:c>
      <x:c r="G75" s="23" t="n">
        <x:v>65.084987</x:v>
      </x:c>
      <x:c r="H75" s="23" t="n">
        <x:v>82.118207</x:v>
      </x:c>
      <x:c r="I75" s="23" t="n">
        <x:v>14.282</x:v>
      </x:c>
      <x:c r="J75" s="24" t="n">
        <x:f>MEDIAN(C75:E75)</x:f>
        <x:v>21.921706</x:v>
      </x:c>
      <x:c r="K75" s="24" t="n">
        <x:f>MEDIAN(F75:H75)</x:f>
        <x:v>65.881958</x:v>
      </x:c>
      <x:c r="L75" s="2" t="str">
        <x:v>2025-09</x:v>
      </x:c>
      <x:c r="M75" s="2" t="str">
        <x:v>C1/C2</x:v>
      </x:c>
      <x:c r="N75" s="24" t="n">
        <x:f>B75</x:f>
        <x:v>128.692716</x:v>
      </x:c>
    </x:row>
    <x:row r="76" ht="24" customHeight="1">
      <x:c r="A76" s="39" t="n">
        <x:v>45961</x:v>
      </x:c>
      <x:c r="B76" s="23" t="n">
        <x:v>112.358333</x:v>
      </x:c>
      <x:c r="C76" s="23" t="n">
        <x:v>20.188532</x:v>
      </x:c>
      <x:c r="D76" s="23" t="n">
        <x:v>19.490941</x:v>
      </x:c>
      <x:c r="E76" s="23" t="n">
        <x:v>38.133168</x:v>
      </x:c>
      <x:c r="F76" s="23" t="n">
        <x:v>61.464727</x:v>
      </x:c>
      <x:c r="G76" s="23" t="n">
        <x:v>55.458331</x:v>
      </x:c>
      <x:c r="H76" s="23" t="n">
        <x:v>67.036316</x:v>
      </x:c>
      <x:c r="I76" s="23" t="n">
        <x:v>14.1724</x:v>
      </x:c>
      <x:c r="J76" s="24" t="n">
        <x:f>MEDIAN(C76:E76)</x:f>
        <x:v>20.188532</x:v>
      </x:c>
      <x:c r="K76" s="24" t="n">
        <x:f>MEDIAN(F76:H76)</x:f>
        <x:v>61.464727</x:v>
      </x:c>
      <x:c r="L76" s="2" t="str">
        <x:v>2025-10</x:v>
      </x:c>
      <x:c r="M76" s="2" t="str">
        <x:v>C1/C2</x:v>
      </x:c>
      <x:c r="N76" s="24" t="n">
        <x:f>B76</x:f>
        <x:v>112.358333</x:v>
      </x:c>
    </x:row>
    <x:row r="77" ht="24" customHeight="1">
      <x:c r="A77" s="39" t="n">
        <x:v>45989</x:v>
      </x:c>
      <x:c r="B77" s="23" t="n">
        <x:v>115.256963</x:v>
      </x:c>
      <x:c r="C77" s="23" t="n">
        <x:v>18.854541</x:v>
      </x:c>
      <x:c r="D77" s="23" t="n">
        <x:v>17.241986</x:v>
      </x:c>
      <x:c r="E77" s="23" t="n">
        <x:v>35.841059</x:v>
      </x:c>
      <x:c r="F77" s="23" t="n">
        <x:v>66.856096</x:v>
      </x:c>
      <x:c r="G77" s="23" t="n">
        <x:v>53.388991</x:v>
      </x:c>
      <x:c r="H77" s="23" t="n">
        <x:v>67.032074</x:v>
      </x:c>
      <x:c r="I77" s="23" t="n">
        <x:v>13.9989</x:v>
      </x:c>
      <x:c r="J77" s="24" t="n">
        <x:f>MEDIAN(C77:E77)</x:f>
        <x:v>18.854541</x:v>
      </x:c>
      <x:c r="K77" s="24" t="n">
        <x:f>MEDIAN(F77:H77)</x:f>
        <x:v>66.856096</x:v>
      </x:c>
      <x:c r="L77" s="2" t="str">
        <x:v>2025-11</x:v>
      </x:c>
      <x:c r="M77" s="2" t="str">
        <x:v>C1/C2</x:v>
      </x:c>
      <x:c r="N77" s="24" t="n">
        <x:f>B77</x:f>
        <x:v>115.256963</x:v>
      </x:c>
    </x:row>
    <x:row r="78" ht="24" customHeight="1">
      <x:c r="A78" s="39" t="n">
        <x:v>46022</x:v>
      </x:c>
      <x:c r="B78" s="23" t="n">
        <x:v>168.235713</x:v>
      </x:c>
      <x:c r="C78" s="23" t="n">
        <x:v>21.582077</x:v>
      </x:c>
      <x:c r="D78" s="23" t="n">
        <x:v>21.556841</x:v>
      </x:c>
      <x:c r="E78" s="23" t="n">
        <x:v>53.012839</x:v>
      </x:c>
      <x:c r="F78" s="23" t="n">
        <x:v>79.265731</x:v>
      </x:c>
      <x:c r="G78" s="23" t="n">
        <x:v>61.582472</x:v>
      </x:c>
      <x:c r="H78" s="23" t="n">
        <x:v>86.136214</x:v>
      </x:c>
      <x:c r="I78" s="23" t="n">
        <x:v>14.2294</x:v>
      </x:c>
      <x:c r="J78" s="24" t="n">
        <x:f>MEDIAN(C78:E78)</x:f>
        <x:v>21.582077</x:v>
      </x:c>
      <x:c r="K78" s="24" t="n">
        <x:f>MEDIAN(F78:H78)</x:f>
        <x:v>79.265731</x:v>
      </x:c>
      <x:c r="L78" s="2" t="str">
        <x:v>2025-12</x:v>
      </x:c>
      <x:c r="M78" s="2" t="str">
        <x:v>C1/C2</x:v>
      </x:c>
      <x:c r="N78" s="24" t="n">
        <x:f>B78</x:f>
        <x:v>168.235713</x:v>
      </x:c>
    </x:row>
    <x:row r="79" ht="24" customHeight="1">
      <x:c r="A79" s="39" t="n">
        <x:v>46052</x:v>
      </x:c>
      <x:c r="B79" s="23" t="n">
        <x:v>215.600804</x:v>
      </x:c>
      <x:c r="C79" s="23" t="n">
        <x:v>26.608366</x:v>
      </x:c>
      <x:c r="D79" s="23" t="n">
        <x:v>30.517793</x:v>
      </x:c>
      <x:c r="E79" s="23" t="n">
        <x:v>65.439789</x:v>
      </x:c>
      <x:c r="F79" s="23" t="n">
        <x:v>84.33354</x:v>
      </x:c>
      <x:c r="G79" s="23" t="n">
        <x:v>63.748203</x:v>
      </x:c>
      <x:c r="H79" s="23" t="n">
        <x:v>105.397329</x:v>
      </x:c>
      <x:c r="I79" s="23" t="n">
        <x:v>14.2319</x:v>
      </x:c>
      <x:c r="J79" s="24" t="n">
        <x:f>MEDIAN(C79:E79)</x:f>
        <x:v>30.517793</x:v>
      </x:c>
      <x:c r="K79" s="24" t="n">
        <x:f>MEDIAN(F79:H79)</x:f>
        <x:v>84.33354</x:v>
      </x:c>
      <x:c r="L79" s="2" t="str">
        <x:v>2026-01</x:v>
      </x:c>
      <x:c r="M79" s="2" t="str">
        <x:v>C1/C2</x:v>
      </x:c>
      <x:c r="N79" s="24" t="n">
        <x:f>B79</x:f>
        <x:v>215.600804</x:v>
      </x:c>
    </x:row>
    <x:row r="80" ht="24" customHeight="1">
      <x:c r="A80" s="39" t="n">
        <x:v>46080</x:v>
      </x:c>
      <x:c r="B80" s="23" t="n">
        <x:v>334.432818</x:v>
      </x:c>
      <x:c r="C80" s="23" t="n">
        <x:v>34.7076</x:v>
      </x:c>
      <x:c r="D80" s="23" t="n">
        <x:v>41.405175</x:v>
      </x:c>
      <x:c r="E80" s="23" t="n">
        <x:v>85.187402</x:v>
      </x:c>
      <x:c r="F80" s="23" t="n">
        <x:v>69.390001</x:v>
      </x:c>
      <x:c r="G80" s="23" t="n">
        <x:v>66.838331</x:v>
      </x:c>
      <x:c r="H80" s="23" t="n">
        <x:v>156.422313</x:v>
      </x:c>
      <x:c r="I80" s="23" t="n">
        <x:v>14.1827</x:v>
      </x:c>
      <x:c r="J80" s="24" t="n">
        <x:f>MEDIAN(C80:E80)</x:f>
        <x:v>41.405175</x:v>
      </x:c>
      <x:c r="K80" s="24" t="n">
        <x:f>MEDIAN(F80:H80)</x:f>
        <x:v>69.390001</x:v>
      </x:c>
      <x:c r="L80" s="2" t="str">
        <x:v>2026-02</x:v>
      </x:c>
      <x:c r="M80" s="2" t="str">
        <x:v>C1/C2</x:v>
      </x:c>
      <x:c r="N80" s="24" t="n">
        <x:f>B80</x:f>
        <x:v>334.432818</x:v>
      </x:c>
    </x:row>
    <x:row r="81" ht="24" customHeight="1">
      <x:c r="A81" s="39" t="n">
        <x:v>46112</x:v>
      </x:c>
      <x:c r="B81" s="23" t="n">
        <x:v>314.878478</x:v>
      </x:c>
      <x:c r="C81" s="23" t="n">
        <x:v>35.839111</x:v>
      </x:c>
      <x:c r="D81" s="23" t="n">
        <x:v>45.896712</x:v>
      </x:c>
      <x:c r="E81" s="23" t="n">
        <x:v>83.419205</x:v>
      </x:c>
      <x:c r="F81" s="23" t="n">
        <x:v>58.596554</x:v>
      </x:c>
      <x:c r="G81" s="23" t="n">
        <x:v>74.215902</x:v>
      </x:c>
      <x:c r="H81" s="23" t="n">
        <x:v>127.954895</x:v>
      </x:c>
      <x:c r="I81" s="23" t="n">
        <x:v>13.9476</x:v>
      </x:c>
      <x:c r="J81" s="24" t="n">
        <x:f>MEDIAN(C81:E81)</x:f>
        <x:v>45.896712</x:v>
      </x:c>
      <x:c r="K81" s="24" t="n">
        <x:f>MEDIAN(F81:H81)</x:f>
        <x:v>74.215902</x:v>
      </x:c>
      <x:c r="L81" s="2" t="str">
        <x:v>2026-03</x:v>
      </x:c>
      <x:c r="M81" s="2" t="str">
        <x:v>C1/C2</x:v>
      </x:c>
      <x:c r="N81" s="24" t="n">
        <x:f>B81</x:f>
        <x:v>314.878478</x:v>
      </x:c>
    </x:row>
    <x:row r="82" ht="24" customHeight="1">
      <x:c r="A82" s="39" t="n">
        <x:v>46142</x:v>
      </x:c>
      <x:c r="B82" s="23" t="n">
        <x:v>253.199623</x:v>
      </x:c>
      <x:c r="C82" s="23" t="n">
        <x:v>35.394435</x:v>
      </x:c>
      <x:c r="D82" s="23" t="n">
        <x:v>50.185658</x:v>
      </x:c>
      <x:c r="E82" s="23" t="n">
        <x:v>151.300004</x:v>
      </x:c>
      <x:c r="F82" s="23" t="n">
        <x:v>63.87853</x:v>
      </x:c>
      <x:c r="G82" s="23" t="n">
        <x:v>112.335677</x:v>
      </x:c>
      <x:c r="H82" s="23" t="n">
        <x:v>110.316566</x:v>
      </x:c>
      <x:c r="I82" s="23" t="n">
        <x:v>14.6952</x:v>
      </x:c>
      <x:c r="J82" s="24" t="n">
        <x:f>MEDIAN(C82:E82)</x:f>
        <x:v>50.185658</x:v>
      </x:c>
      <x:c r="K82" s="24" t="n">
        <x:f>MEDIAN(F82:H82)</x:f>
        <x:v>110.316566</x:v>
      </x:c>
      <x:c r="L82" s="2" t="str">
        <x:v>2026-04</x:v>
      </x:c>
      <x:c r="M82" s="2" t="str">
        <x:v>C1/C2</x:v>
      </x:c>
      <x:c r="N82" s="24" t="n">
        <x:f>B82</x:f>
        <x:v>253.199623</x:v>
      </x:c>
    </x:row>
    <x:row r="83" ht="24" customHeight="1">
      <x:c r="A83" s="39" t="n">
        <x:v>46171</x:v>
      </x:c>
      <x:c r="B83" s="23" t="n">
        <x:v>288.19254</x:v>
      </x:c>
      <x:c r="C83" s="23" t="n">
        <x:v>45.087295</x:v>
      </x:c>
      <x:c r="D83" s="23" t="n">
        <x:v>58.908949</x:v>
      </x:c>
      <x:c r="E83" s="23" t="n">
        <x:v>168.186744</x:v>
      </x:c>
      <x:c r="F83" s="23" t="n">
        <x:v>86.499351</x:v>
      </x:c>
      <x:c r="G83" s="23" t="n">
        <x:v>158.794436</x:v>
      </x:c>
      <x:c r="H83" s="23" t="n">
        <x:v>163.304393</x:v>
      </x:c>
      <x:c r="I83" s="23" t="n">
        <x:v>14.563</x:v>
      </x:c>
      <x:c r="J83" s="24" t="n">
        <x:f>MEDIAN(C83:E83)</x:f>
        <x:v>58.908949</x:v>
      </x:c>
      <x:c r="K83" s="24" t="n">
        <x:f>MEDIAN(F83:H83)</x:f>
        <x:v>158.794436</x:v>
      </x:c>
      <x:c r="L83" s="2" t="str">
        <x:v>2026-05</x:v>
      </x:c>
      <x:c r="M83" s="2" t="str">
        <x:v>C1/C2</x:v>
      </x:c>
      <x:c r="N83" s="24" t="n">
        <x:f>B83</x:f>
        <x:v>288.19254</x:v>
      </x:c>
    </x:row>
    <x:row r="84" ht="24" customHeight="1">
      <x:c r="A84" s="39" t="n">
        <x:v>46203</x:v>
      </x:c>
      <x:c r="B84" s="23" t="n">
        <x:v>390.567036</x:v>
      </x:c>
      <x:c r="C84" s="23" t="n">
        <x:v>64.84705</x:v>
      </x:c>
      <x:c r="D84" s="23" t="n">
        <x:v>83.520545</x:v>
      </x:c>
      <x:c r="E84" s="23" t="n">
        <x:v>238.553562</x:v>
      </x:c>
      <x:c r="F84" s="23" t="n">
        <x:v>94.746096</x:v>
      </x:c>
      <x:c r="G84" s="23" t="n">
        <x:v>205.232637</x:v>
      </x:c>
      <x:c r="H84" s="23" t="n">
        <x:v>152.022327</x:v>
      </x:c>
      <x:c r="I84" s="23" t="n">
        <x:v>14.5109</x:v>
      </x:c>
      <x:c r="J84" s="24" t="n">
        <x:f>MEDIAN(C84:E84)</x:f>
        <x:v>83.520545</x:v>
      </x:c>
      <x:c r="K84" s="24" t="n">
        <x:f>MEDIAN(F84:H84)</x:f>
        <x:v>152.022327</x:v>
      </x:c>
      <x:c r="L84" s="2" t="str">
        <x:v>2026-06</x:v>
      </x:c>
      <x:c r="M84" s="2" t="str">
        <x:v>C1/C2</x:v>
      </x:c>
      <x:c r="N84" s="24" t="n">
        <x:f>B84</x:f>
        <x:v>390.567036</x:v>
      </x:c>
    </x:row>
    <x:row r="85" ht="24" customHeight="1">
      <x:c r="A85" s="39" t="n">
        <x:v>46234</x:v>
      </x:c>
      <x:c r="B85" s="23" t="n">
        <x:v>194.246108</x:v>
      </x:c>
      <x:c r="C85" s="23" t="n">
        <x:v>30.478541</x:v>
      </x:c>
      <x:c r="D85" s="23" t="n">
        <x:v>36.367415</x:v>
      </x:c>
      <x:c r="E85" s="23" t="n">
        <x:v>107.251867</x:v>
      </x:c>
      <x:c r="F85" s="23" t="n">
        <x:v>70.581366</x:v>
      </x:c>
      <x:c r="G85" s="23" t="n">
        <x:v>129.163357</x:v>
      </x:c>
      <x:c r="H85" s="23" t="n">
        <x:v>85.890505</x:v>
      </x:c>
      <x:c r="I85" s="23" t="n">
        <x:v>14.3807</x:v>
      </x:c>
      <x:c r="J85" s="24" t="n">
        <x:f>MEDIAN(C85:E85)</x:f>
        <x:v>36.367415</x:v>
      </x:c>
      <x:c r="K85" s="24" t="n">
        <x:f>MEDIAN(F85:H85)</x:f>
        <x:v>85.890505</x:v>
      </x:c>
      <x:c r="L85" s="2" t="str">
        <x:v>2026-07</x:v>
      </x:c>
      <x:c r="M85" s="2" t="str">
        <x:v>C1/C2</x:v>
      </x:c>
      <x:c r="N85" s="24" t="n">
        <x:f>B85</x:f>
        <x:v>194.246108</x:v>
      </x:c>
    </x:row>
    <x:row r="86" ht="24" customHeight="1">
      <x:c r="A86" s="39" t="n">
        <x:v>46265</x:v>
      </x:c>
      <x:c r="B86" s="23" t="n">
        <x:v>100.663101</x:v>
      </x:c>
      <x:c r="C86" s="23" t="n">
        <x:v>32.258406</x:v>
      </x:c>
      <x:c r="D86" s="23" t="n">
        <x:v>39.693757</x:v>
      </x:c>
      <x:c r="E86" s="23" t="n">
        <x:v>168.587006</x:v>
      </x:c>
      <x:c r="F86" s="23" t="n">
        <x:v>49.061119</x:v>
      </x:c>
      <x:c r="G86" s="23" t="n">
        <x:v>128.817617</x:v>
      </x:c>
      <x:c r="H86" s="23" t="n">
        <x:v>123.535195</x:v>
      </x:c>
      <x:c r="I86" s="23" t="n">
        <x:v>13.7822</x:v>
      </x:c>
      <x:c r="J86" s="24" t="n">
        <x:f>MEDIAN(C86:E86)</x:f>
        <x:v>39.693757</x:v>
      </x:c>
      <x:c r="K86" s="24" t="n">
        <x:f>MEDIAN(F86:H86)</x:f>
        <x:v>123.535195</x:v>
      </x:c>
      <x:c r="L86" s="2" t="str">
        <x:v>2026-08</x:v>
      </x:c>
      <x:c r="M86" s="2" t="str">
        <x:v>C1/C2</x:v>
      </x:c>
      <x:c r="N86" s="24" t="n">
        <x:f>B86</x:f>
        <x:v>100.663101</x:v>
      </x:c>
    </x:row>
    <x:row r="87" ht="24" customHeight="1">
      <x:c r="A87" s="39" t="n">
        <x:v>46267</x:v>
      </x:c>
      <x:c r="B87" s="23" t="n">
        <x:v>98.072993</x:v>
      </x:c>
      <x:c r="C87" s="23" t="n">
        <x:v>30.846298</x:v>
      </x:c>
      <x:c r="D87" s="23" t="n">
        <x:v>39.410988</x:v>
      </x:c>
      <x:c r="E87" s="23" t="n">
        <x:v>159.296059</x:v>
      </x:c>
      <x:c r="F87" s="23" t="n">
        <x:v>47.362207</x:v>
      </x:c>
      <x:c r="G87" s="23" t="n">
        <x:v>124.191926</x:v>
      </x:c>
      <x:c r="H87" s="23" t="n">
        <x:v>117.428893</x:v>
      </x:c>
      <x:c r="I87" s="23" t="n">
        <x:v>13.6582</x:v>
      </x:c>
      <x:c r="J87" s="24" t="n">
        <x:f>MEDIAN(C87:E87)</x:f>
        <x:v>39.410988</x:v>
      </x:c>
      <x:c r="K87" s="24" t="n">
        <x:f>MEDIAN(F87:H87)</x:f>
        <x:v>117.428893</x:v>
      </x:c>
      <x:c r="L87" s="2" t="str">
        <x:v>2026-09</x:v>
      </x:c>
      <x:c r="M87" s="2" t="str">
        <x:v>C1/C2</x:v>
      </x:c>
      <x:c r="N87" s="24" t="n">
        <x:f>B87</x:f>
        <x:v>98.072993</x:v>
      </x:c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42" customHeight="1">
      <x:c r="A91" s="9" t="str">
        <x:v>样本</x:v>
      </x:c>
      <x:c r="B91" s="9" t="str">
        <x:v>2020至2025最低</x:v>
      </x:c>
      <x:c r="C91" s="9" t="str">
        <x:v>历史中位</x:v>
      </x:c>
      <x:c r="D91" s="9" t="str">
        <x:v>历史最高</x:v>
      </x:c>
      <x:c r="E91" s="9" t="str">
        <x:v>2026-09-02</x:v>
      </x:c>
      <x:c r="F91" s="9" t="str">
        <x:v>历史样本数</x:v>
      </x:c>
      <x:c r="G91" s="2"/>
      <x:c r="H91" s="2"/>
      <x:c r="I91" s="2"/>
      <x:c r="J91" s="2"/>
      <x:c r="K91" s="2"/>
      <x:c r="L91" s="2"/>
      <x:c r="M91" s="2"/>
      <x:c r="N91" s="2"/>
    </x:row>
    <x:row r="92" ht="24" customHeight="1">
      <x:c r="A92" s="2" t="str">
        <x:v>核心组</x:v>
      </x:c>
      <x:c r="B92" s="24" t="n">
        <x:f>MIN(J7:J78)</x:f>
        <x:v>13.776299</x:v>
      </x:c>
      <x:c r="C92" s="24" t="n">
        <x:f>MEDIAN(J7:J78)</x:f>
        <x:v>22.798868499999998</x:v>
      </x:c>
      <x:c r="D92" s="24" t="n">
        <x:f>MAX(J7:J78)</x:f>
        <x:v>59.106253</x:v>
      </x:c>
      <x:c r="E92" s="24" t="n">
        <x:f>J87</x:f>
        <x:v>39.410988</x:v>
      </x:c>
      <x:c r="F92" s="10" t="n">
        <x:f>COUNT(J7:J78)</x:f>
        <x:v>72</x:v>
      </x:c>
      <x:c r="G92" s="2"/>
      <x:c r="H92" s="2"/>
      <x:c r="I92" s="2"/>
      <x:c r="J92" s="2"/>
      <x:c r="K92" s="2"/>
      <x:c r="L92" s="2"/>
      <x:c r="M92" s="2"/>
      <x:c r="N92" s="2"/>
    </x:row>
    <x:row r="93" ht="24" customHeight="1">
      <x:c r="A93" s="2" t="str">
        <x:v>AI组</x:v>
      </x:c>
      <x:c r="B93" s="24" t="n">
        <x:f>MIN(K7:K78)</x:f>
        <x:v>18.514047</x:v>
      </x:c>
      <x:c r="C93" s="24" t="n">
        <x:f>MEDIAN(K7:K78)</x:f>
        <x:v>44.0712925</x:v>
      </x:c>
      <x:c r="D93" s="24" t="n">
        <x:f>MAX(K7:K78)</x:f>
        <x:v>94.211593</x:v>
      </x:c>
      <x:c r="E93" s="24" t="n">
        <x:f>K87</x:f>
        <x:v>117.428893</x:v>
      </x:c>
      <x:c r="F93" s="10" t="n">
        <x:f>COUNT(K7:K78)</x:f>
        <x:v>72</x:v>
      </x:c>
      <x:c r="G93" s="2"/>
      <x:c r="H93" s="2"/>
      <x:c r="I93" s="2"/>
      <x:c r="J93" s="2"/>
      <x:c r="K93" s="2"/>
      <x:c r="L93" s="2"/>
      <x:c r="M93" s="2"/>
      <x:c r="N93" s="2"/>
    </x:row>
    <x:row r="94" ht="24" customHeight="1">
      <x:c r="A94" s="2" t="str">
        <x:v>长飞A股</x:v>
      </x:c>
      <x:c r="B94" s="24" t="n">
        <x:f>MIN(B7:B78)</x:f>
        <x:v>15.440478</x:v>
      </x:c>
      <x:c r="C94" s="24" t="n">
        <x:f>MEDIAN(B7:B78)</x:f>
        <x:v>28.869864</x:v>
      </x:c>
      <x:c r="D94" s="24" t="n">
        <x:f>MAX(B7:B78)</x:f>
        <x:v>168.235713</x:v>
      </x:c>
      <x:c r="E94" s="24" t="n">
        <x:f>B87</x:f>
        <x:v>98.072993</x:v>
      </x:c>
      <x:c r="F94" s="10" t="n">
        <x:f>COUNT(B7:B78)</x:f>
        <x:v>72</x:v>
      </x:c>
      <x:c r="G94" s="2"/>
      <x:c r="H94" s="2"/>
      <x:c r="I94" s="2"/>
      <x:c r="J94" s="2"/>
      <x:c r="K94" s="2"/>
      <x:c r="L94" s="2"/>
      <x:c r="M94" s="2"/>
      <x:c r="N94" s="2"/>
    </x:row>
    <x:row r="95" ht="24" customHeight="1">
      <x:c r="A95" s="2" t="str">
        <x:v>沪深300</x:v>
      </x:c>
      <x:c r="B95" s="24" t="n">
        <x:f>MIN(I7:I78)</x:f>
        <x:v>10.3057</x:v>
      </x:c>
      <x:c r="C95" s="24" t="n">
        <x:f>MEDIAN(I7:I78)</x:f>
        <x:v>12.418050000000001</x:v>
      </x:c>
      <x:c r="D95" s="24" t="n">
        <x:f>MAX(I7:I78)</x:f>
        <x:v>16.4051</x:v>
      </x:c>
      <x:c r="E95" s="24" t="n">
        <x:f>I87</x:f>
        <x:v>13.6582</x:v>
      </x:c>
      <x:c r="F95" s="10" t="n">
        <x:f>COUNT(I7:I78)</x:f>
        <x:v>72</x:v>
      </x:c>
      <x:c r="G95" s="2"/>
      <x:c r="H95" s="2"/>
      <x:c r="I95" s="2"/>
      <x:c r="J95" s="2"/>
      <x:c r="K95" s="2"/>
      <x:c r="L95" s="2"/>
      <x:c r="M95" s="2"/>
      <x:c r="N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4" customHeight="1">
      <x:c r="A98" s="2" t="str">
        <x:v>相对沪深300</x:v>
      </x:c>
      <x:c r="B98" s="2"/>
      <x:c r="C98" s="2" t="str">
        <x:v>2026-09-02</x:v>
      </x:c>
      <x:c r="D98" s="2" t="str">
        <x:v>同源同TTM</x:v>
      </x:c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4" customHeight="1">
      <x:c r="A99" s="2" t="str">
        <x:v>核心组</x:v>
      </x:c>
      <x:c r="B99" s="38" t="n">
        <x:f>J87/I87</x:f>
        <x:v>2.885518443133063</x:v>
      </x:c>
      <x:c r="C99" s="2" t="str">
        <x:v>倍</x:v>
      </x:c>
      <x:c r="D99" s="2" t="str">
        <x:v>DERIVED</x:v>
      </x:c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4" customHeight="1">
      <x:c r="A100" s="2" t="str">
        <x:v>AI组</x:v>
      </x:c>
      <x:c r="B100" s="38" t="n">
        <x:f>K87/I87</x:f>
        <x:v>8.597684394722584</x:v>
      </x:c>
      <x:c r="C100" s="2" t="str">
        <x:v>倍</x:v>
      </x:c>
      <x:c r="D100" s="2" t="str">
        <x:v>DERIVED</x:v>
      </x:c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</x:sheetData>
  <x:mergeCells>
    <x:mergeCell ref="A1:N2"/>
    <x:mergeCell ref="A3:N4"/>
    <x:mergeCell ref="A5:N5"/>
  </x:mergeCells>
  <x:pageMargins left="0.7" right="0.7" top="0.75" bottom="0.75" header="0.3" footer="0.3"/>
  <x:drawing xmlns:r="http://schemas.openxmlformats.org/officeDocument/2006/relationships" r:id="Ra7bab7cea21c4dc2"/>
  <x:legacyDrawing xmlns:r="http://schemas.openxmlformats.org/officeDocument/2006/relationships" r:id="R39fa888432564af3"/>
</x:worksheet>
</file>

<file path=xl/worksheets/sheet5.xml><?xml version="1.0" encoding="utf-8"?>
<x:worksheet xmlns:x="http://schemas.openxmlformats.org/spreadsheetml/2006/main">
  <x:sheetPr>
    <x:tabColor rgb="FF285F8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24" hidden="0" customWidth="1"/>
    <x:col min="5" max="5" width="55" hidden="0" customWidth="1"/>
    <x:col min="6" max="6" width="53" hidden="0" customWidth="1"/>
  </x:cols>
  <x:sheetData>
    <x:row r="1" ht="24" customHeight="1">
      <x:c r="A1" s="3" t="str">
        <x:v>来源与缺口登记</x:v>
      </x:c>
      <x:c r="B1" s="2"/>
      <x:c r="C1" s="2"/>
      <x:c r="D1" s="2"/>
      <x:c r="E1" s="2"/>
      <x:c r="F1" s="2"/>
    </x:row>
    <x:row r="2" ht="24" customHeight="1">
      <x:c r="A2" s="2"/>
      <x:c r="B2" s="2"/>
      <x:c r="C2" s="2"/>
      <x:c r="D2" s="2"/>
      <x:c r="E2" s="2"/>
      <x:c r="F2" s="2"/>
    </x:row>
    <x:row r="3" ht="24" customHeight="1">
      <x:c r="A3" s="5" t="str">
        <x:v>ACTUAL 为公司披露；供应商事实、转引预测、派生计算与缺失分开。完整原始回执及日志位于报告目录 raw/。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24" customHeight="1">
      <x:c r="A5" s="6" t="str">
        <x:v>研究 2026-09-05 | 估值 2026-09-02 | 金额人民币亿元，特别注明除外 | 缺失不填零</x:v>
      </x:c>
      <x:c r="B5" s="2"/>
      <x:c r="C5" s="2"/>
      <x:c r="D5" s="2"/>
      <x:c r="E5" s="2"/>
      <x:c r="F5" s="2"/>
    </x:row>
    <x:row r="6" ht="42" customHeight="1">
      <x:c r="A6" s="9" t="str">
        <x:v>编号</x:v>
      </x:c>
      <x:c r="B6" s="9" t="str">
        <x:v>期间</x:v>
      </x:c>
      <x:c r="C6" s="9" t="str">
        <x:v>数据内容</x:v>
      </x:c>
      <x:c r="D6" s="9" t="str">
        <x:v>状态</x:v>
      </x:c>
      <x:c r="E6" s="9" t="str">
        <x:v>来源文件或网址</x:v>
      </x:c>
      <x:c r="F6" s="9" t="str">
        <x:v>限制</x:v>
      </x:c>
    </x:row>
    <x:row r="7" ht="66" customHeight="1">
      <x:c r="A7" s="20" t="str">
        <x:v>W1/W2</x:v>
      </x:c>
      <x:c r="B7" s="20" t="str">
        <x:v>2020至2026-07</x:v>
      </x:c>
      <x:c r="C7" s="20" t="str">
        <x:v>中国光缆产量与官方同比</x:v>
      </x:c>
      <x:c r="D7" s="20" t="str">
        <x:v>WIND-FACT</x:v>
      </x:c>
      <x:c r="E7" s="20" t="str">
        <x:v>raw/wind-industry-series.json；wind-production-yoy.json</x:v>
      </x:c>
      <x:c r="F7" s="20" t="str">
        <x:v>芯千米；不是全球需求；官方同比与绝对量变化分开</x:v>
      </x:c>
    </x:row>
    <x:row r="8" ht="66" customHeight="1">
      <x:c r="A8" s="40" t="str">
        <x:v>W3</x:v>
      </x:c>
      <x:c r="B8" s="40" t="str">
        <x:v>2025A / 2026H1</x:v>
      </x:c>
      <x:c r="C8" s="40" t="str">
        <x:v>七公司收入及反推EBITDA</x:v>
      </x:c>
      <x:c r="D8" s="40" t="str">
        <x:v>WIND-FACT / PARTIAL</x:v>
      </x:c>
      <x:c r="E8" s="40" t="str">
        <x:v>raw/wind-*-fundamentals.json</x:v>
      </x:c>
      <x:c r="F8" s="40" t="str">
        <x:v>反推法未正常化；报告期以字段为准</x:v>
      </x:c>
    </x:row>
    <x:row r="9" ht="66" customHeight="1">
      <x:c r="A9" s="20" t="str">
        <x:v>W4</x:v>
      </x:c>
      <x:c r="B9" s="20" t="str">
        <x:v>2026-09-02</x:v>
      </x:c>
      <x:c r="C9" s="20" t="str">
        <x:v>企业价值及EV倍数核对</x:v>
      </x:c>
      <x:c r="D9" s="20" t="str">
        <x:v>WIND-FACT / PARTIAL</x:v>
      </x:c>
      <x:c r="E9" s="20" t="str">
        <x:v>raw/wind-*-ev.json</x:v>
      </x:c>
      <x:c r="F9" s="20" t="str">
        <x:v>使用EV/FY2025；完整TTM EV桥缺失</x:v>
      </x:c>
    </x:row>
    <x:row r="10" ht="66" customHeight="1">
      <x:c r="A10" s="40" t="str">
        <x:v>W5</x:v>
      </x:c>
      <x:c r="B10" s="40" t="str">
        <x:v>2026-09-02</x:v>
      </x:c>
      <x:c r="C10" s="40" t="str">
        <x:v>沪深300交叉核对</x:v>
      </x:c>
      <x:c r="D10" s="40" t="str">
        <x:v>WIND-FACT</x:v>
      </x:c>
      <x:c r="E10" s="40" t="str">
        <x:v>raw/wind-csi300.json</x:v>
      </x:c>
      <x:c r="F10" s="40" t="str">
        <x:v>年末返回次年首个交易日；历史排除</x:v>
      </x:c>
    </x:row>
    <x:row r="11" ht="66" customHeight="1">
      <x:c r="A11" s="20" t="str">
        <x:v>W6</x:v>
      </x:c>
      <x:c r="B11" s="20" t="str">
        <x:v>2026-01-06等</x:v>
      </x:c>
      <x:c r="C11" s="20" t="str">
        <x:v>CRU年初需求与地区旧预测</x:v>
      </x:c>
      <x:c r="D11" s="20" t="str">
        <x:v>NEWS-CITED / PARTIAL</x:v>
      </x:c>
      <x:c r="E11" s="20" t="str">
        <x:v>raw/wind-market-news.json</x:v>
      </x:c>
      <x:c r="F11" s="20" t="str">
        <x:v>旧5.77亿不与新6.70亿拼接</x:v>
      </x:c>
    </x:row>
    <x:row r="12" ht="66" customHeight="1">
      <x:c r="A12" s="40" t="str">
        <x:v>W7</x:v>
      </x:c>
      <x:c r="B12" s="40" t="str">
        <x:v>2025年报</x:v>
      </x:c>
      <x:c r="C12" s="40" t="str">
        <x:v>长飞两起并购及会计成本</x:v>
      </x:c>
      <x:c r="D12" s="40" t="str">
        <x:v>ACTUAL / PARTIAL</x:v>
      </x:c>
      <x:c r="E12" s="40" t="str">
        <x:v>raw/wind-acquisitions.json</x:v>
      </x:c>
      <x:c r="F12" s="40" t="str">
        <x:v>无行业交易EV/EBITDA；公告文本提取</x:v>
      </x:c>
    </x:row>
    <x:row r="13" ht="66" customHeight="1">
      <x:c r="A13" s="20" t="str">
        <x:v>C1/C2</x:v>
      </x:c>
      <x:c r="B13" s="20" t="str">
        <x:v>2020至2026-09-02</x:v>
      </x:c>
      <x:c r="C13" s="20" t="str">
        <x:v>七公司及沪深300月末PETTM</x:v>
      </x:c>
      <x:c r="D13" s="20" t="str">
        <x:v>CHOICE-FACT</x:v>
      </x:c>
      <x:c r="E13" s="20" t="str">
        <x:v>raw/choice-peer-monthly.json；choice-csi300-monthly.json</x:v>
      </x:c>
      <x:c r="F13" s="20" t="str">
        <x:v>固定样本；72历史点及81完整日期；非PIT保证</x:v>
      </x:c>
    </x:row>
    <x:row r="14" ht="66" customHeight="1">
      <x:c r="A14" s="40" t="str">
        <x:v>C3</x:v>
      </x:c>
      <x:c r="B14" s="40" t="str">
        <x:v>2026-09-02</x:v>
      </x:c>
      <x:c r="C14" s="40" t="str">
        <x:v>Choice CSS估值快照</x:v>
      </x:c>
      <x:c r="D14" s="40" t="str">
        <x:v>CHOICE-FACT / PARTIAL</x:v>
      </x:c>
      <x:c r="E14" s="40" t="str">
        <x:v>raw/choice-valuation.json</x:v>
      </x:c>
      <x:c r="F14" s="40" t="str">
        <x:v>EV原数值单位交叉核对；长飞倍数未完全一致</x:v>
      </x:c>
    </x:row>
    <x:row r="15" ht="66" customHeight="1">
      <x:c r="A15" s="20" t="str">
        <x:v>L1/L2</x:v>
      </x:c>
      <x:c r="B15" s="20" t="str">
        <x:v>2026H1等</x:v>
      </x:c>
      <x:c r="C15" s="20" t="str">
        <x:v>长飞分部、三表、CRU转引</x:v>
      </x:c>
      <x:c r="D15" s="20" t="str">
        <x:v>ACTUAL / COMPANY-CITED</x:v>
      </x:c>
      <x:c r="E15" s="20" t="str">
        <x:v>docs/yofc/01-FINANCIAL-METRICS.md；DATA-SOURCES.md</x:v>
      </x:c>
      <x:c r="F15" s="20" t="str">
        <x:v>细分规格销量ASP仍缺失</x:v>
      </x:c>
    </x:row>
    <x:row r="16" ht="66" customHeight="1">
      <x:c r="A16" s="40" t="str">
        <x:v>L3</x:v>
      </x:c>
      <x:c r="B16" s="40" t="str">
        <x:v>2026-09-02</x:v>
      </x:c>
      <x:c r="C16" s="40" t="str">
        <x:v>冻结2026E预测和P/E</x:v>
      </x:c>
      <x:c r="D16" s="40" t="str">
        <x:v>WIND-FACT / PARTIAL</x:v>
      </x:c>
      <x:c r="E16" s="40" t="str">
        <x:v>docs/yofc/13-WIND-COMPS-20260902.md</x:v>
      </x:c>
      <x:c r="F16" s="40" t="str">
        <x:v>机构样本和分布未完整；比率已四舍五入</x:v>
      </x:c>
    </x:row>
    <x:row r="17" ht="66" customHeight="1">
      <x:c r="A17" s="20" t="str">
        <x:v>L4</x:v>
      </x:c>
      <x:c r="B17" s="20" t="str">
        <x:v>2025A / 2026H1</x:v>
      </x:c>
      <x:c r="C17" s="20" t="str">
        <x:v>中天业务构成及现金回款</x:v>
      </x:c>
      <x:c r="D17" s="20" t="str">
        <x:v>ACTUAL / BROKER-EST</x:v>
      </x:c>
      <x:c r="E17" s="20" t="str">
        <x:v>docs/ztt/DATA-SOURCES.md</x:v>
      </x:c>
      <x:c r="F17" s="20" t="str">
        <x:v>券商沟通不代替正式半年报分部</x:v>
      </x:c>
    </x:row>
    <x:row r="18" ht="66" customHeight="1">
      <x:c r="A18" s="40" t="str">
        <x:v>L5</x:v>
      </x:c>
      <x:c r="B18" s="40" t="str">
        <x:v>2026-07 / 08</x:v>
      </x:c>
      <x:c r="C18" s="40" t="str">
        <x:v>ASP、供给及份额预测</x:v>
      </x:c>
      <x:c r="D18" s="40" t="str">
        <x:v>BROKER-EST / PARTIAL</x:v>
      </x:c>
      <x:c r="E18" s="40" t="str">
        <x:v>docs/yofc/10-FOUR-BROKER-INDUSTRY-COMPARISON.md</x:v>
      </x:c>
      <x:c r="F18" s="40" t="str">
        <x:v>各自日期、口径；不可平均或拼接</x:v>
      </x:c>
    </x:row>
    <x:row r="19" ht="66" customHeight="1">
      <x:c r="A19" s="20" t="str">
        <x:v>R1</x:v>
      </x:c>
      <x:c r="B19" s="20" t="str">
        <x:v>2024版在用</x:v>
      </x:c>
      <x:c r="C19" s="20" t="str">
        <x:v>G.657技术标准</x:v>
      </x:c>
      <x:c r="D19" s="20" t="str">
        <x:v>官方标准</x:v>
      </x:c>
      <x:c r="E19" s="20" t="str">
        <x:v>https://www.itu.int/rec/t-rec-g.657</x:v>
      </x:c>
      <x:c r="F19" s="20" t="str">
        <x:v>弯曲不敏感单模，不等于AI专属或空芯</x:v>
      </x:c>
    </x:row>
    <x:row r="20" ht="66" customHeight="1">
      <x:c r="A20" s="40" t="str">
        <x:v>R2/R3</x:v>
      </x:c>
      <x:c r="B20" s="40" t="str">
        <x:v>2023 / 2025</x:v>
      </x:c>
      <x:c r="C20" s="40" t="str">
        <x:v>欧盟光缆贸易措施</x:v>
      </x:c>
      <x:c r="D20" s="40" t="str">
        <x:v>官方历史事件</x:v>
      </x:c>
      <x:c r="E20" s="40" t="str">
        <x:v>欧盟委员会；REPORT.md第12节直接链接</x:v>
      </x:c>
      <x:c r="F20" s="40" t="str">
        <x:v>未确认2026所有企业及原产地税率</x:v>
      </x:c>
    </x:row>
    <x:row r="21" ht="66" customHeight="1">
      <x:c r="A21" s="20" t="str">
        <x:v>缺口</x:v>
      </x:c>
      <x:c r="B21" s="20" t="str">
        <x:v>当前</x:v>
      </x:c>
      <x:c r="C21" s="20" t="str">
        <x:v>全球收入TAM、CR5、份额历史</x:v>
      </x:c>
      <x:c r="D21" s="20" t="str">
        <x:v>MISSING</x:v>
      </x:c>
      <x:c r="E21" s="20" t="str">
        <x:v>Wind经济及新闻、本地券商已尝试</x:v>
      </x:c>
      <x:c r="F21" s="20" t="str">
        <x:v>需同口径量价与厂商数据库</x:v>
      </x:c>
    </x:row>
    <x:row r="22" ht="66" customHeight="1">
      <x:c r="A22" s="40" t="str">
        <x:v>缺口</x:v>
      </x:c>
      <x:c r="B22" s="40" t="str">
        <x:v>当前</x:v>
      </x:c>
      <x:c r="C22" s="40" t="str">
        <x:v>有效产能、良率、实际ASP</x:v>
      </x:c>
      <x:c r="D22" s="40" t="str">
        <x:v>MISSING / PARTIAL</x:v>
      </x:c>
      <x:c r="E22" s="40" t="str">
        <x:v>本地扩产表与公司披露</x:v>
      </x:c>
      <x:c r="F22" s="40" t="str">
        <x:v>规划吨数不等于有效供给</x:v>
      </x:c>
    </x:row>
    <x:row r="23" ht="66" customHeight="1">
      <x:c r="A23" s="20" t="str">
        <x:v>日志</x:v>
      </x:c>
      <x:c r="B23" s="20" t="str">
        <x:v>2026-09-05</x:v>
      </x:c>
      <x:c r="C23" s="20" t="str">
        <x:v>12条追加财务/EV逐字请求</x:v>
      </x:c>
      <x:c r="D23" s="20" t="str">
        <x:v>PARTIAL</x:v>
      </x:c>
      <x:c r="E23" s="20" t="str">
        <x:v>raw/requests.jsonl；DATA-SOURCES.md</x:v>
      </x:c>
      <x:c r="F23" s="20" t="str">
        <x:v>部分首个探针未存逐字请求，原始回执保留</x:v>
      </x:c>
    </x:row>
    <x:row r="24" ht="24" customHeight="1">
      <x:c r="A24" s="2"/>
      <x:c r="B24" s="2"/>
      <x:c r="C24" s="2"/>
      <x:c r="D24" s="2"/>
      <x:c r="E24" s="2"/>
      <x:c r="F24" s="2"/>
    </x:row>
    <x:row r="25" ht="55" customHeight="1">
      <x:c r="A25" s="20" t="str">
        <x:v>B1至B6</x:v>
      </x:c>
      <x:c r="B25" s="20" t="str">
        <x:v>2026-07 / 08</x:v>
      </x:c>
      <x:c r="C25" s="20" t="str">
        <x:v>五家投行六份报告</x:v>
      </x:c>
      <x:c r="D25" s="20" t="str">
        <x:v>BROKER-EST / PARTIAL</x:v>
      </x:c>
      <x:c r="E25" s="20" t="str">
        <x:v>broker_data.json；REPORT.md第12节</x:v>
      </x:c>
      <x:c r="F25" s="20" t="str">
        <x:v>保留原日期、币种、方法和利润口径</x:v>
      </x:c>
    </x:row>
    <x:row r="26" ht="24" customHeight="1">
      <x:c r="A26" s="20" t="str">
        <x:v>复算：build_data.py从回执归一化，build_workbook.mjs写公式并导出。蓝字黄底仅为可编辑CAGR参数，绿字为跨表引用，黑字为其他公式。报告目录 DATA-SOURCES.md 记录完整方法、接受/排除字段及查询复现规范。</x:v>
      </x:c>
      <x:c r="B26" s="2"/>
      <x:c r="C26" s="2"/>
      <x:c r="D26" s="2"/>
      <x:c r="E26" s="2"/>
      <x:c r="F26" s="2"/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24" customHeight="1">
      <x:c r="A29" s="2"/>
      <x:c r="B29" s="2"/>
      <x:c r="C29" s="2"/>
      <x:c r="D29" s="2"/>
      <x:c r="E29" s="2"/>
      <x:c r="F29" s="2"/>
    </x:row>
  </x:sheetData>
  <x:mergeCells>
    <x:mergeCell ref="A1:F2"/>
    <x:mergeCell ref="A3:F4"/>
    <x:mergeCell ref="A5:F5"/>
    <x:mergeCell ref="A26:F2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85F8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7" hidden="0" customWidth="1"/>
    <x:col min="4" max="4" width="13" hidden="0" customWidth="1"/>
    <x:col min="5" max="5" width="13" hidden="0" customWidth="1"/>
    <x:col min="6" max="6" width="13" hidden="0" customWidth="1"/>
    <x:col min="7" max="7" width="26" hidden="0" customWidth="1"/>
    <x:col min="8" max="8" width="37" hidden="0" customWidth="1"/>
    <x:col min="9" max="9" width="40" hidden="0" customWidth="1"/>
    <x:col min="10" max="10" width="14" hidden="0" customWidth="1"/>
  </x:cols>
  <x:sheetData>
    <x:row r="1" ht="24" customHeight="1">
      <x:c r="A1" s="3" t="str">
        <x:v>五家投行 六份报告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5" t="str">
        <x:v>B1至B6保留原报告时点；目标价为投行原观点，不是本研究目标价。预测口径不同，不平均成市场共识。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6" t="str">
        <x:v>研究 2026-09-05 | 估值 2026-09-02 | 金额人民币亿元，特别注明除外 | 缺失不填零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42" customHeight="1">
      <x:c r="A6" s="9" t="str">
        <x:v>公司</x:v>
      </x:c>
      <x:c r="B6" s="9" t="str">
        <x:v>投行</x:v>
      </x:c>
      <x:c r="C6" s="9" t="str">
        <x:v>报告日期</x:v>
      </x:c>
      <x:c r="D6" s="9" t="str">
        <x:v>原评级</x:v>
      </x:c>
      <x:c r="E6" s="9" t="str">
        <x:v>原目标价</x:v>
      </x:c>
      <x:c r="F6" s="9" t="str">
        <x:v>币种</x:v>
      </x:c>
      <x:c r="G6" s="9" t="str">
        <x:v>方法</x:v>
      </x:c>
      <x:c r="H6" s="9" t="str">
        <x:v>主要判断</x:v>
      </x:c>
      <x:c r="I6" s="9" t="str">
        <x:v>复算边界</x:v>
      </x:c>
      <x:c r="J6" s="9" t="str">
        <x:v>来源</x:v>
      </x:c>
    </x:row>
    <x:row r="7" ht="65" customHeight="1">
      <x:c r="A7" s="20" t="str">
        <x:v>长飞光纤</x:v>
      </x:c>
      <x:c r="B7" s="20" t="str">
        <x:v>杰富瑞</x:v>
      </x:c>
      <x:c r="C7" s="20" t="str">
        <x:v>2026-07-22</x:v>
      </x:c>
      <x:c r="D7" s="20" t="str">
        <x:v>持有</x:v>
      </x:c>
      <x:c r="E7" s="54" t="n">
        <x:v>153.74</x:v>
      </x:c>
      <x:c r="F7" s="20" t="str">
        <x:v>港元</x:v>
      </x:c>
      <x:c r="G7" s="20" t="str">
        <x:v>SOTP</x:v>
      </x:c>
      <x:c r="H7" s="20" t="str">
        <x:v>新增供给较快消除短缺，2027附近盈利见顶，2028回落</x:v>
      </x:c>
      <x:c r="I7" s="20" t="str">
        <x:v>主业平均值及分部资产桥不完整</x:v>
      </x:c>
      <x:c r="J7" s="20" t="str">
        <x:v>B1</x:v>
      </x:c>
    </x:row>
    <x:row r="8" ht="65" customHeight="1">
      <x:c r="A8" s="40" t="str">
        <x:v>长飞光纤</x:v>
      </x:c>
      <x:c r="B8" s="40" t="str">
        <x:v>高盛</x:v>
      </x:c>
      <x:c r="C8" s="40" t="str">
        <x:v>2026-08-28</x:v>
      </x:c>
      <x:c r="D8" s="40" t="str">
        <x:v>中性</x:v>
      </x:c>
      <x:c r="E8" s="55" t="n">
        <x:v>292</x:v>
      </x:c>
      <x:c r="F8" s="40" t="str">
        <x:v>港元</x:v>
      </x:c>
      <x:c r="G8" s="40" t="str">
        <x:v>2030E折现P/E</x:v>
      </x:c>
      <x:c r="H8" s="40" t="str">
        <x:v>2H26价格维持高位，长期收入及盈利持续增长</x:v>
      </x:c>
      <x:c r="I8" s="40" t="str">
        <x:v>14.6倍回归及汇率缺失；CoE取整差异</x:v>
      </x:c>
      <x:c r="J8" s="40" t="str">
        <x:v>B2</x:v>
      </x:c>
    </x:row>
    <x:row r="9" ht="65" customHeight="1">
      <x:c r="A9" s="20" t="str">
        <x:v>长飞光纤</x:v>
      </x:c>
      <x:c r="B9" s="20" t="str">
        <x:v>野村</x:v>
      </x:c>
      <x:c r="C9" s="20" t="str">
        <x:v>2026-08-21</x:v>
      </x:c>
      <x:c r="D9" s="20" t="str">
        <x:v>买入</x:v>
      </x:c>
      <x:c r="E9" s="54" t="n">
        <x:v>266</x:v>
      </x:c>
      <x:c r="F9" s="20" t="str">
        <x:v>港元</x:v>
      </x:c>
      <x:c r="G9" s="20" t="str">
        <x:v>FY27 EPS × 23.7倍P/E</x:v>
      </x:c>
      <x:c r="H9" s="20" t="str">
        <x:v>提价带动利润，关注空芯和MPO等产品进展</x:v>
      </x:c>
      <x:c r="I9" s="20" t="str">
        <x:v>只有FY27 EPS；可比样本及汇率未披露</x:v>
      </x:c>
      <x:c r="J9" s="20" t="str">
        <x:v>B3</x:v>
      </x:c>
    </x:row>
    <x:row r="10" ht="65" customHeight="1">
      <x:c r="A10" s="40" t="str">
        <x:v>长飞光纤</x:v>
      </x:c>
      <x:c r="B10" s="40" t="str">
        <x:v>摩根士丹利</x:v>
      </x:c>
      <x:c r="C10" s="40" t="str">
        <x:v>2026-08-23</x:v>
      </x:c>
      <x:c r="D10" s="40" t="str">
        <x:v>增持</x:v>
      </x:c>
      <x:c r="E10" s="55" t="n">
        <x:v>230</x:v>
      </x:c>
      <x:c r="F10" s="40" t="str">
        <x:v>港元</x:v>
      </x:c>
      <x:c r="G10" s="40" t="str">
        <x:v>RIM剩余收益模型</x:v>
      </x:c>
      <x:c r="H10" s="40" t="str">
        <x:v>收入继续上升，但净利润2027见顶后回落</x:v>
      </x:c>
      <x:c r="I10" s="40" t="str">
        <x:v>账面价值滚存、剩余收益及终值桥缺失</x:v>
      </x:c>
      <x:c r="J10" s="40" t="str">
        <x:v>B4</x:v>
      </x:c>
    </x:row>
    <x:row r="11" ht="65" customHeight="1">
      <x:c r="A11" s="20" t="str">
        <x:v>中天科技</x:v>
      </x:c>
      <x:c r="B11" s="20" t="str">
        <x:v>摩根士丹利</x:v>
      </x:c>
      <x:c r="C11" s="20" t="str">
        <x:v>2026-07-14</x:v>
      </x:c>
      <x:c r="D11" s="20" t="str">
        <x:v>增持</x:v>
      </x:c>
      <x:c r="E11" s="54" t="n">
        <x:v>53.23</x:v>
      </x:c>
      <x:c r="F11" s="20" t="str">
        <x:v>人民币元</x:v>
      </x:c>
      <x:c r="G11" s="20" t="str">
        <x:v>2027—2037 FCFF DCF</x:v>
      </x:c>
      <x:c r="H11" s="20" t="str">
        <x:v>Q2确认节奏影响盈利，Q3提价及海洋交付改善</x:v>
      </x:c>
      <x:c r="I11" s="20" t="str">
        <x:v>完整FCFF缺失；可见WACC 9.49%与列示9.67%有差异</x:v>
      </x:c>
      <x:c r="J11" s="20" t="str">
        <x:v>B5</x:v>
      </x:c>
    </x:row>
    <x:row r="12" ht="65" customHeight="1">
      <x:c r="A12" s="40" t="str">
        <x:v>中天科技</x:v>
      </x:c>
      <x:c r="B12" s="40" t="str">
        <x:v>美银</x:v>
      </x:c>
      <x:c r="C12" s="40" t="str">
        <x:v>2026-08-28</x:v>
      </x:c>
      <x:c r="D12" s="40" t="str">
        <x:v>买入</x:v>
      </x:c>
      <x:c r="E12" s="55" t="n">
        <x:v>65</x:v>
      </x:c>
      <x:c r="F12" s="40" t="str">
        <x:v>人民币元</x:v>
      </x:c>
      <x:c r="G12" s="40" t="str">
        <x:v>2026—2035 DCF</x:v>
      </x:c>
      <x:c r="H12" s="40" t="str">
        <x:v>上调短期盈利，下调长期利润率；光纤与海洋仍强</x:v>
      </x:c>
      <x:c r="I12" s="40" t="str">
        <x:v>2029—2035现金流及完整股权桥缺失</x:v>
      </x:c>
      <x:c r="J12" s="40" t="str">
        <x:v>B6</x:v>
      </x:c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42" customHeight="1">
      <x:c r="A16" s="9" t="str">
        <x:v>公司</x:v>
      </x:c>
      <x:c r="B16" s="9" t="str">
        <x:v>投行</x:v>
      </x:c>
      <x:c r="C16" s="9" t="str">
        <x:v>2026E收入</x:v>
      </x:c>
      <x:c r="D16" s="9" t="str">
        <x:v>2026E净利</x:v>
      </x:c>
      <x:c r="E16" s="9" t="str">
        <x:v>2027E净利</x:v>
      </x:c>
      <x:c r="F16" s="9" t="str">
        <x:v>2028E净利</x:v>
      </x:c>
      <x:c r="G16" s="9" t="str">
        <x:v>2026E净利率</x:v>
      </x:c>
      <x:c r="H16" s="9" t="str">
        <x:v>净利润口径</x:v>
      </x:c>
      <x:c r="I16" s="9" t="str">
        <x:v>状态</x:v>
      </x:c>
      <x:c r="J16" s="9" t="str">
        <x:v>来源</x:v>
      </x:c>
    </x:row>
    <x:row r="17" ht="45" customHeight="1">
      <x:c r="A17" s="20" t="str">
        <x:v>长飞光纤</x:v>
      </x:c>
      <x:c r="B17" s="20" t="str">
        <x:v>杰富瑞</x:v>
      </x:c>
      <x:c r="C17" s="56" t="n">
        <x:v>279.44</x:v>
      </x:c>
      <x:c r="D17" s="56" t="n">
        <x:v>87.02</x:v>
      </x:c>
      <x:c r="E17" s="56" t="n">
        <x:v>90.52</x:v>
      </x:c>
      <x:c r="F17" s="56" t="n">
        <x:v>69.48</x:v>
      </x:c>
      <x:c r="G17" s="57" t="n">
        <x:f>D17/C17</x:f>
        <x:v>0.3114085313484111</x:v>
      </x:c>
      <x:c r="H17" s="20" t="str">
        <x:v>报告净利润</x:v>
      </x:c>
      <x:c r="I17" s="20" t="str">
        <x:v>BROKER-EST / PARTIAL</x:v>
      </x:c>
      <x:c r="J17" s="20" t="str">
        <x:v>B1</x:v>
      </x:c>
    </x:row>
    <x:row r="18" ht="45" customHeight="1">
      <x:c r="A18" s="40" t="str">
        <x:v>长飞光纤</x:v>
      </x:c>
      <x:c r="B18" s="40" t="str">
        <x:v>高盛</x:v>
      </x:c>
      <x:c r="C18" s="59" t="n">
        <x:v>245.87</x:v>
      </x:c>
      <x:c r="D18" s="59" t="n">
        <x:v>68.98</x:v>
      </x:c>
      <x:c r="E18" s="59" t="n">
        <x:v>125.16</x:v>
      </x:c>
      <x:c r="F18" s="59" t="n">
        <x:v>142.94</x:v>
      </x:c>
      <x:c r="G18" s="60" t="n">
        <x:f>D18/C18</x:f>
        <x:v>0.28055476471305973</x:v>
      </x:c>
      <x:c r="H18" s="40" t="str">
        <x:v>报告净利润</x:v>
      </x:c>
      <x:c r="I18" s="40" t="str">
        <x:v>BROKER-EST / PARTIAL</x:v>
      </x:c>
      <x:c r="J18" s="40" t="str">
        <x:v>B2</x:v>
      </x:c>
    </x:row>
    <x:row r="19" ht="45" customHeight="1">
      <x:c r="A19" s="20" t="str">
        <x:v>长飞光纤</x:v>
      </x:c>
      <x:c r="B19" s="20" t="str">
        <x:v>野村</x:v>
      </x:c>
      <x:c r="C19" s="56" t="str">
        <x:v>MISSING</x:v>
      </x:c>
      <x:c r="D19" s="56" t="str">
        <x:v>MISSING</x:v>
      </x:c>
      <x:c r="E19" s="56" t="str">
        <x:v>MISSING</x:v>
      </x:c>
      <x:c r="F19" s="56" t="str">
        <x:v>MISSING</x:v>
      </x:c>
      <x:c r="G19" s="58" t="str">
        <x:v>MISSING</x:v>
      </x:c>
      <x:c r="H19" s="20" t="str">
        <x:v>未披露完整年度表</x:v>
      </x:c>
      <x:c r="I19" s="20" t="str">
        <x:v>BROKER-EST / PARTIAL</x:v>
      </x:c>
      <x:c r="J19" s="20" t="str">
        <x:v>B3</x:v>
      </x:c>
    </x:row>
    <x:row r="20" ht="45" customHeight="1">
      <x:c r="A20" s="40" t="str">
        <x:v>长飞光纤</x:v>
      </x:c>
      <x:c r="B20" s="40" t="str">
        <x:v>摩根士丹利</x:v>
      </x:c>
      <x:c r="C20" s="59" t="n">
        <x:v>273.876</x:v>
      </x:c>
      <x:c r="D20" s="59" t="n">
        <x:v>75.067</x:v>
      </x:c>
      <x:c r="E20" s="59" t="n">
        <x:v>127.303</x:v>
      </x:c>
      <x:c r="F20" s="59" t="n">
        <x:v>114.352</x:v>
      </x:c>
      <x:c r="G20" s="60" t="n">
        <x:f>D20/C20</x:f>
        <x:v>0.27409119455520015</x:v>
      </x:c>
      <x:c r="H20" s="40" t="str">
        <x:v>ModelWare净利润</x:v>
      </x:c>
      <x:c r="I20" s="40" t="str">
        <x:v>BROKER-EST / PARTIAL</x:v>
      </x:c>
      <x:c r="J20" s="40" t="str">
        <x:v>B4</x:v>
      </x:c>
    </x:row>
    <x:row r="21" ht="45" customHeight="1">
      <x:c r="A21" s="20" t="str">
        <x:v>中天科技</x:v>
      </x:c>
      <x:c r="B21" s="20" t="str">
        <x:v>摩根士丹利</x:v>
      </x:c>
      <x:c r="C21" s="56" t="n">
        <x:v>624.8</x:v>
      </x:c>
      <x:c r="D21" s="56" t="n">
        <x:v>64.21</x:v>
      </x:c>
      <x:c r="E21" s="56" t="n">
        <x:v>83.06</x:v>
      </x:c>
      <x:c r="F21" s="56" t="n">
        <x:v>102.82</x:v>
      </x:c>
      <x:c r="G21" s="57" t="n">
        <x:f>D21/C21</x:f>
        <x:v>0.10276888604353393</x:v>
      </x:c>
      <x:c r="H21" s="20" t="str">
        <x:v>ModelWare净利润</x:v>
      </x:c>
      <x:c r="I21" s="20" t="str">
        <x:v>BROKER-EST / PARTIAL</x:v>
      </x:c>
      <x:c r="J21" s="20" t="str">
        <x:v>B5</x:v>
      </x:c>
    </x:row>
    <x:row r="22" ht="45" customHeight="1">
      <x:c r="A22" s="40" t="str">
        <x:v>中天科技</x:v>
      </x:c>
      <x:c r="B22" s="40" t="str">
        <x:v>美银</x:v>
      </x:c>
      <x:c r="C22" s="59" t="n">
        <x:v>692.5</x:v>
      </x:c>
      <x:c r="D22" s="59" t="n">
        <x:v>87.8</x:v>
      </x:c>
      <x:c r="E22" s="59" t="n">
        <x:v>130.99</x:v>
      </x:c>
      <x:c r="F22" s="59" t="n">
        <x:v>148.65</x:v>
      </x:c>
      <x:c r="G22" s="60" t="n">
        <x:f>D22/C22</x:f>
        <x:v>0.1267870036101083</x:v>
      </x:c>
      <x:c r="H22" s="40" t="str">
        <x:v>调整后净利润</x:v>
      </x:c>
      <x:c r="I22" s="40" t="str">
        <x:v>BROKER-EST / PARTIAL</x:v>
      </x:c>
      <x:c r="J22" s="40" t="str">
        <x:v>B6</x:v>
      </x:c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42" customHeight="1">
      <x:c r="A26" s="9" t="str">
        <x:v>中天对照</x:v>
      </x:c>
      <x:c r="B26" s="9" t="str">
        <x:v>2027E收入</x:v>
      </x:c>
      <x:c r="C26" s="9" t="str">
        <x:v>2027E净利</x:v>
      </x:c>
      <x:c r="D26" s="9" t="str">
        <x:v>2027E EBITDA</x:v>
      </x:c>
      <x:c r="E26" s="9" t="str">
        <x:v>2027E EBITDA率</x:v>
      </x:c>
      <x:c r="F26" s="9" t="str">
        <x:v>WACC</x:v>
      </x:c>
      <x:c r="G26" s="9" t="str">
        <x:v>永续增长</x:v>
      </x:c>
      <x:c r="H26" s="2"/>
      <x:c r="I26" s="2"/>
      <x:c r="J26" s="2"/>
    </x:row>
    <x:row r="27" ht="24" customHeight="1">
      <x:c r="A27" s="2" t="str">
        <x:v>大摩 2026-07-14</x:v>
      </x:c>
      <x:c r="B27" s="13" t="n">
        <x:v>722.52</x:v>
      </x:c>
      <x:c r="C27" s="13" t="n">
        <x:v>83.06</x:v>
      </x:c>
      <x:c r="D27" s="13" t="n">
        <x:v>107.73</x:v>
      </x:c>
      <x:c r="E27" s="61" t="n">
        <x:f>D27/B27</x:f>
        <x:v>0.14910313901345293</x:v>
      </x:c>
      <x:c r="F27" s="62" t="n">
        <x:v>0.0967</x:v>
      </x:c>
      <x:c r="G27" s="62" t="n">
        <x:v>0.02</x:v>
      </x:c>
      <x:c r="H27" s="2"/>
      <x:c r="I27" s="2"/>
      <x:c r="J27" s="2"/>
    </x:row>
    <x:row r="28" ht="24" customHeight="1">
      <x:c r="A28" s="2" t="str">
        <x:v>美银 2026-08-28</x:v>
      </x:c>
      <x:c r="B28" s="13" t="n">
        <x:v>839.24</x:v>
      </x:c>
      <x:c r="C28" s="13" t="n">
        <x:v>130.99</x:v>
      </x:c>
      <x:c r="D28" s="13" t="n">
        <x:v>160.941</x:v>
      </x:c>
      <x:c r="E28" s="61" t="n">
        <x:f>D28/B28</x:f>
        <x:v>0.19176993470282636</x:v>
      </x:c>
      <x:c r="F28" s="62" t="n">
        <x:v>0.09</x:v>
      </x:c>
      <x:c r="G28" s="62" t="n">
        <x:v>0.03</x:v>
      </x:c>
      <x:c r="H28" s="2"/>
      <x:c r="I28" s="2"/>
      <x:c r="J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2" t="str">
        <x:v>美银相对大摩 收入</x:v>
      </x:c>
      <x:c r="B30" s="17" t="n">
        <x:f>B28/B27-1</x:f>
        <x:v>0.16154570115706135</x:v>
      </x:c>
      <x:c r="C30" s="15" t="str">
        <x:v>净利润</x:v>
      </x:c>
      <x:c r="D30" s="17" t="n">
        <x:f>C28/C27-1</x:f>
        <x:v>0.5770527329641224</x:v>
      </x:c>
      <x:c r="E30" s="2"/>
      <x:c r="F30" s="2"/>
      <x:c r="G30" s="2"/>
      <x:c r="H30" s="2"/>
      <x:c r="I30" s="2"/>
      <x:c r="J30" s="2"/>
    </x:row>
    <x:row r="31" ht="24" customHeight="1">
      <x:c r="A31" s="2" t="str">
        <x:v>仅描述原报告差异</x:v>
      </x:c>
      <x:c r="B31" s="2"/>
      <x:c r="C31" s="2" t="str">
        <x:v>不是同口径共识</x:v>
      </x:c>
      <x:c r="D31" s="2"/>
      <x:c r="E31" s="2"/>
      <x:c r="F31" s="2"/>
      <x:c r="G31" s="2"/>
      <x:c r="H31" s="2"/>
      <x:c r="I31" s="2"/>
      <x:c r="J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4" customHeight="1">
      <x:c r="A34" s="20" t="str">
        <x:v>野村仅披露FY27 EPS 9.75元，年度收入和净利润留MISSING。长飞报告目标价以港元计，中天以人民币计；不跨币种求均值。利润率为各自报告内派生值，ModelWare与美银调整后净利润尚未统一调整桥。B1至B6的单家案例链接及原报告页码见HTML第12与13节、broker_data.json和DATA-SOURCES.md。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</x:sheetData>
  <x:mergeCells>
    <x:mergeCell ref="A1:J2"/>
    <x:mergeCell ref="A3:J4"/>
    <x:mergeCell ref="A5:J5"/>
    <x:mergeCell ref="A34:J37"/>
  </x:mergeCells>
  <x:pageMargins left="0.7" right="0.7" top="0.75" bottom="0.75" header="0.3" footer="0.3"/>
  <x:legacyDrawing xmlns:r="http://schemas.openxmlformats.org/officeDocument/2006/relationships" r:id="Rdcedba6ba92641bc"/>
</x:worksheet>
</file>